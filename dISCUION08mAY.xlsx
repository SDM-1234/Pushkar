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shkar\"/>
    </mc:Choice>
  </mc:AlternateContent>
  <xr:revisionPtr revIDLastSave="0" documentId="13_ncr:1_{C82FBA6D-7BED-4810-AB59-F36F74036FCE}" xr6:coauthVersionLast="47" xr6:coauthVersionMax="47" xr10:uidLastSave="{00000000-0000-0000-0000-000000000000}"/>
  <bookViews>
    <workbookView xWindow="-120" yWindow="-120" windowWidth="20730" windowHeight="11160" activeTab="1" xr2:uid="{9D413066-C77A-48FF-9171-F646CF22C4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2" l="1"/>
  <c r="O13" i="2"/>
  <c r="J17" i="2"/>
  <c r="O16" i="2"/>
  <c r="O15" i="2"/>
  <c r="O14" i="2"/>
  <c r="J6" i="2"/>
  <c r="O17" i="2" l="1"/>
  <c r="X29" i="2" s="1"/>
  <c r="Q29" i="2"/>
  <c r="U29" i="2" l="1"/>
  <c r="M29" i="2"/>
</calcChain>
</file>

<file path=xl/sharedStrings.xml><?xml version="1.0" encoding="utf-8"?>
<sst xmlns="http://schemas.openxmlformats.org/spreadsheetml/2006/main" count="805" uniqueCount="200">
  <si>
    <t>RowVersion</t>
  </si>
  <si>
    <t>Entry No.</t>
  </si>
  <si>
    <t>Item No.</t>
  </si>
  <si>
    <t>Posting Date</t>
  </si>
  <si>
    <t>Item Ledger Entry Type</t>
  </si>
  <si>
    <t>Source No.</t>
  </si>
  <si>
    <t>Document No.</t>
  </si>
  <si>
    <t>Description</t>
  </si>
  <si>
    <t>Location Code</t>
  </si>
  <si>
    <t>Inventory Posting Group</t>
  </si>
  <si>
    <t>Source Posting Group</t>
  </si>
  <si>
    <t>Item Ledger Entry No.</t>
  </si>
  <si>
    <t>Valued Quantity</t>
  </si>
  <si>
    <t>Item Ledger Entry Quantity</t>
  </si>
  <si>
    <t>Invoiced Quantity</t>
  </si>
  <si>
    <t>Cost per Unit</t>
  </si>
  <si>
    <t>Sales Amount (Actual)</t>
  </si>
  <si>
    <t>Item Register No.</t>
  </si>
  <si>
    <t>SIFT Bucket No.</t>
  </si>
  <si>
    <t>Salespers./Purch. Code</t>
  </si>
  <si>
    <t>Discount Amount</t>
  </si>
  <si>
    <t>User ID</t>
  </si>
  <si>
    <t>Source Code</t>
  </si>
  <si>
    <t>Applies-to Entry</t>
  </si>
  <si>
    <t>Unit Code</t>
  </si>
  <si>
    <t>Cust grp Code</t>
  </si>
  <si>
    <t>Source Type</t>
  </si>
  <si>
    <t>Cost Amount (Actual)</t>
  </si>
  <si>
    <t>Cost Posted to G/L</t>
  </si>
  <si>
    <t>Reason Code</t>
  </si>
  <si>
    <t>Drop Shipment</t>
  </si>
  <si>
    <t>Journal Batch Name</t>
  </si>
  <si>
    <t>Gen. Bus. Posting Group</t>
  </si>
  <si>
    <t>Gen. Prod. Posting Group</t>
  </si>
  <si>
    <t>Document Date</t>
  </si>
  <si>
    <t>External Document No.</t>
  </si>
  <si>
    <t>Cost Amount (Actual) (ACY)</t>
  </si>
  <si>
    <t>Cost Posted to G/L (ACY)</t>
  </si>
  <si>
    <t>Cost per Unit (ACY)</t>
  </si>
  <si>
    <t>Document Type</t>
  </si>
  <si>
    <t>Document Line No.</t>
  </si>
  <si>
    <t>VAT Date</t>
  </si>
  <si>
    <t>Order Type</t>
  </si>
  <si>
    <t>Order No.</t>
  </si>
  <si>
    <t>Order Line No.</t>
  </si>
  <si>
    <t>Expected Cost</t>
  </si>
  <si>
    <t>Item Charge No.</t>
  </si>
  <si>
    <t>Valued By Average Cost</t>
  </si>
  <si>
    <t>Partial Revaluation</t>
  </si>
  <si>
    <t>Inventoriable</t>
  </si>
  <si>
    <t>Valuation Date</t>
  </si>
  <si>
    <t>Entry Type</t>
  </si>
  <si>
    <t>Variance Type</t>
  </si>
  <si>
    <t>Purchase Amount (Actual)</t>
  </si>
  <si>
    <t>Purchase Amount (Expected)</t>
  </si>
  <si>
    <t>Sales Amount (Expected)</t>
  </si>
  <si>
    <t>Cost Amount (Expected)</t>
  </si>
  <si>
    <t>Cost Amount (Non-Invtbl.)</t>
  </si>
  <si>
    <t>Cost Amount (Expected) (ACY)</t>
  </si>
  <si>
    <t>Cost Amount (Non-Invtbl.)(ACY)</t>
  </si>
  <si>
    <t>Expected Cost Posted to G/L</t>
  </si>
  <si>
    <t>Exp. Cost Posted to G/L (ACY)</t>
  </si>
  <si>
    <t>Dimension Set ID</t>
  </si>
  <si>
    <t>Employee Code</t>
  </si>
  <si>
    <t>Machine Code</t>
  </si>
  <si>
    <t>Vehicle Code</t>
  </si>
  <si>
    <t>Shortcut Dimension 6 Code</t>
  </si>
  <si>
    <t>Shortcut Dimension 7 Code</t>
  </si>
  <si>
    <t>Shortcut Dimension 8 Code</t>
  </si>
  <si>
    <t>Project No.</t>
  </si>
  <si>
    <t>Project Task No.</t>
  </si>
  <si>
    <t>Project Ledger Entry No.</t>
  </si>
  <si>
    <t>Variant Code</t>
  </si>
  <si>
    <t>Adjustment</t>
  </si>
  <si>
    <t>Average Cost Exception</t>
  </si>
  <si>
    <t>Capacity Ledger Entry No.</t>
  </si>
  <si>
    <t>Type</t>
  </si>
  <si>
    <t>No.</t>
  </si>
  <si>
    <t>Return Reason Code</t>
  </si>
  <si>
    <t>System ID</t>
  </si>
  <si>
    <t>Created At</t>
  </si>
  <si>
    <t>Created By</t>
  </si>
  <si>
    <t>Modified At</t>
  </si>
  <si>
    <t>Modified By</t>
  </si>
  <si>
    <t>RM0001</t>
  </si>
  <si>
    <t>Purchase</t>
  </si>
  <si>
    <t>PR/000001</t>
  </si>
  <si>
    <t>DD 2.0X1250X2500 </t>
  </si>
  <si>
    <t>MS UNIT-I</t>
  </si>
  <si>
    <t>RAW MATERIAL</t>
  </si>
  <si>
    <t>TML</t>
  </si>
  <si>
    <t>SDMBCS</t>
  </si>
  <si>
    <t>PURCHASES</t>
  </si>
  <si>
    <t>Vendor</t>
  </si>
  <si>
    <t>No</t>
  </si>
  <si>
    <t>Purchase Receipt</t>
  </si>
  <si>
    <t>Yes</t>
  </si>
  <si>
    <t>Direct Cost</t>
  </si>
  <si>
    <t>{5e590045-811b-f011-9af7-6045bd736721}</t>
  </si>
  <si>
    <t>17-04-2025 17:14</t>
  </si>
  <si>
    <t>{9a8d8a7e-1add-40e9-9ba8-fa9983a9fc03}</t>
  </si>
  <si>
    <t>25-05-2025 12:31</t>
  </si>
  <si>
    <t>PR/000002</t>
  </si>
  <si>
    <t>PURCHASE2</t>
  </si>
  <si>
    <t>{c9c0461f-0a1c-f011-9af7-7ced8d2813cb}</t>
  </si>
  <si>
    <t>18-04-2025 09:33</t>
  </si>
  <si>
    <t>{72e11318-449f-4e7e-b90c-5ffb7b03eca5}</t>
  </si>
  <si>
    <t>PPI/000006</t>
  </si>
  <si>
    <t>2131 NBVBN</t>
  </si>
  <si>
    <t>Purchase Invoice</t>
  </si>
  <si>
    <t>{8f0765a9-401c-f011-9af7-7ced8d2813cb}</t>
  </si>
  <si>
    <t>18-04-2025 16:04</t>
  </si>
  <si>
    <t>PR/000016</t>
  </si>
  <si>
    <t>{c21c9536-9225-f011-9af7-7c1e523bad11}</t>
  </si>
  <si>
    <t>30-04-2025 12:40</t>
  </si>
  <si>
    <t>MHD</t>
  </si>
  <si>
    <t>{d51c9536-9225-f011-9af7-7c1e523bad11}</t>
  </si>
  <si>
    <t>PPI/000011</t>
  </si>
  <si>
    <t>{79b6bc91-9225-f011-9af7-7c1e523bad11}</t>
  </si>
  <si>
    <t>30-04-2025 12:43</t>
  </si>
  <si>
    <t>{b6b6bc91-9225-f011-9af7-7c1e523bad11}</t>
  </si>
  <si>
    <t>Sale</t>
  </si>
  <si>
    <t>SHIP-000010</t>
  </si>
  <si>
    <t>DQ 0.98X1250X98</t>
  </si>
  <si>
    <t>OTHERS</t>
  </si>
  <si>
    <t>SALES</t>
  </si>
  <si>
    <t>Customer</t>
  </si>
  <si>
    <t>VERBAL</t>
  </si>
  <si>
    <t>Sales Shipment</t>
  </si>
  <si>
    <t>{5e40f59d-fe2b-f011-9a4a-000d3a3e6a0a}</t>
  </si>
  <si>
    <t>08-05-2025 16:51</t>
  </si>
  <si>
    <t>AVISHEK</t>
  </si>
  <si>
    <t>{78aaf36d-732d-f011-9a4a-6045bd736721}</t>
  </si>
  <si>
    <t>10-05-2025 13:20</t>
  </si>
  <si>
    <t>{81298b45-0fb4-48f4-b545-2f5b712d790c}</t>
  </si>
  <si>
    <t>{79aaf36d-732d-f011-9a4a-6045bd736721}</t>
  </si>
  <si>
    <t>{7aaaf36d-732d-f011-9a4a-6045bd736721}</t>
  </si>
  <si>
    <t>Transfer</t>
  </si>
  <si>
    <t>TS/000003</t>
  </si>
  <si>
    <t>TRANSFER</t>
  </si>
  <si>
    <t>Transfer Shipment</t>
  </si>
  <si>
    <t>TO/000003</t>
  </si>
  <si>
    <t>{334fc066-1236-f011-9a4a-6045bd72bb65}</t>
  </si>
  <si>
    <t>21-05-2025 12:38</t>
  </si>
  <si>
    <t>IN-TRANSIT</t>
  </si>
  <si>
    <t>{014fc066-1236-f011-9a4a-6045bd72bb65}</t>
  </si>
  <si>
    <t>{194fc066-1236-f011-9a4a-6045bd72bb65}</t>
  </si>
  <si>
    <t>{214fc066-1236-f011-9a4a-6045bd72bb65}</t>
  </si>
  <si>
    <t>TR/000003</t>
  </si>
  <si>
    <t>Transfer Receipt</t>
  </si>
  <si>
    <t>{aab8b86c-1236-f011-9a4a-6045bd72bb65}</t>
  </si>
  <si>
    <t>J-INDIANP</t>
  </si>
  <si>
    <t>{3a52c066-1236-f011-9a4a-6045bd72bb65}</t>
  </si>
  <si>
    <t>{4452c066-1236-f011-9a4a-6045bd72bb65}</t>
  </si>
  <si>
    <t>{a4b8b86c-1236-f011-9a4a-6045bd72bb65}</t>
  </si>
  <si>
    <t>TS/000004</t>
  </si>
  <si>
    <t>TO/000004</t>
  </si>
  <si>
    <t>{68174b1d-1736-f011-9a4a-6045bd72bb65}</t>
  </si>
  <si>
    <t>21-05-2025 13:12</t>
  </si>
  <si>
    <t>{42174b1d-1736-f011-9a4a-6045bd72bb65}</t>
  </si>
  <si>
    <t>{57174b1d-1736-f011-9a4a-6045bd72bb65}</t>
  </si>
  <si>
    <t>TR/000004</t>
  </si>
  <si>
    <t>{3e1b4b1d-1736-f011-9a4a-6045bd72bb65}</t>
  </si>
  <si>
    <t>{111b4b1d-1736-f011-9a4a-6045bd72bb65}</t>
  </si>
  <si>
    <t>{291b4b1d-1736-f011-9a4a-6045bd72bb65}</t>
  </si>
  <si>
    <t>Negative Adjmt.</t>
  </si>
  <si>
    <t>ITMJNL0002</t>
  </si>
  <si>
    <t>ITEMJNL</t>
  </si>
  <si>
    <t>DEFAULT</t>
  </si>
  <si>
    <t>{bf3fa0db-1b36-f011-9a4a-6045bd72bb65}</t>
  </si>
  <si>
    <t>21-05-2025 13:46</t>
  </si>
  <si>
    <t>ile</t>
  </si>
  <si>
    <t>item no</t>
  </si>
  <si>
    <t>entry ty</t>
  </si>
  <si>
    <t>rm0001</t>
  </si>
  <si>
    <t>purchase</t>
  </si>
  <si>
    <t>qty</t>
  </si>
  <si>
    <t>qty. uom</t>
  </si>
  <si>
    <t>uom</t>
  </si>
  <si>
    <t>MT</t>
  </si>
  <si>
    <t>INV VAL</t>
  </si>
  <si>
    <t>UOM</t>
  </si>
  <si>
    <t>NUM</t>
  </si>
  <si>
    <t>PUR. UOM</t>
  </si>
  <si>
    <t>EXTRA</t>
  </si>
  <si>
    <t>OPEN</t>
  </si>
  <si>
    <t>QTY</t>
  </si>
  <si>
    <t>VALUE</t>
  </si>
  <si>
    <t>C;LOS</t>
  </si>
  <si>
    <t>DECS</t>
  </si>
  <si>
    <t>INCRE</t>
  </si>
  <si>
    <t>From Date</t>
  </si>
  <si>
    <t>To Date</t>
  </si>
  <si>
    <t>Location Filter</t>
  </si>
  <si>
    <t>Cut Gro FILTER</t>
  </si>
  <si>
    <t>DIMENSION</t>
  </si>
  <si>
    <t>Cust GROUP</t>
  </si>
  <si>
    <t>Post DATE</t>
  </si>
  <si>
    <t>Filter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</si>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</sst>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Segoe UI"/>
      <family val="2"/>
    </font>
    <font>
      <sz val="10.5"/>
      <color rgb="FF21212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6DA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203E-C66F-4712-B578-86D198D36B72}">
  <dimension ref="A1:CF28"/>
  <sheetViews>
    <sheetView workbookViewId="0"/>
  </sheetViews>
  <sheetFormatPr defaultRowHeight="15" x14ac:dyDescent="0.25"/>
  <cols>
    <col min="1" max="1" width="9" bestFit="1" customWidth="1"/>
    <col min="2" max="2" width="8" bestFit="1" customWidth="1"/>
    <col min="3" max="3" width="8.5703125" bestFit="1" customWidth="1"/>
    <col min="4" max="4" width="11.85546875" bestFit="1" customWidth="1"/>
    <col min="5" max="5" width="8.85546875" bestFit="1" customWidth="1"/>
    <col min="6" max="6" width="6.7109375" bestFit="1" customWidth="1"/>
    <col min="7" max="7" width="12.85546875" bestFit="1" customWidth="1"/>
    <col min="8" max="8" width="19.42578125" bestFit="1" customWidth="1"/>
    <col min="9" max="9" width="11.28515625" bestFit="1" customWidth="1"/>
    <col min="10" max="10" width="15.140625" bestFit="1" customWidth="1"/>
    <col min="11" max="11" width="8.140625" bestFit="1" customWidth="1"/>
    <col min="12" max="12" width="8" bestFit="1" customWidth="1"/>
    <col min="13" max="15" width="7.5703125" bestFit="1" customWidth="1"/>
    <col min="16" max="16" width="9.85546875" bestFit="1" customWidth="1"/>
    <col min="17" max="17" width="7.28515625" bestFit="1" customWidth="1"/>
    <col min="18" max="18" width="7" bestFit="1" customWidth="1"/>
    <col min="19" max="19" width="6.140625" bestFit="1" customWidth="1"/>
    <col min="20" max="20" width="9" bestFit="1" customWidth="1"/>
    <col min="21" max="21" width="7.7109375" bestFit="1" customWidth="1"/>
    <col min="22" max="22" width="11.85546875" bestFit="1" customWidth="1"/>
    <col min="23" max="23" width="11.7109375" bestFit="1" customWidth="1"/>
    <col min="24" max="24" width="8.85546875" bestFit="1" customWidth="1"/>
    <col min="25" max="25" width="8.5703125" bestFit="1" customWidth="1"/>
    <col min="26" max="26" width="7.42578125" bestFit="1" customWidth="1"/>
    <col min="27" max="27" width="8.85546875" bestFit="1" customWidth="1"/>
    <col min="28" max="29" width="13.5703125" bestFit="1" customWidth="1"/>
    <col min="30" max="30" width="6.42578125" bestFit="1" customWidth="1"/>
    <col min="31" max="31" width="8.28515625" bestFit="1" customWidth="1"/>
    <col min="33" max="33" width="8.140625" bestFit="1" customWidth="1"/>
    <col min="34" max="34" width="15.140625" bestFit="1" customWidth="1"/>
    <col min="35" max="35" width="11.85546875" bestFit="1" customWidth="1"/>
    <col min="36" max="36" width="12.5703125" bestFit="1" customWidth="1"/>
    <col min="37" max="37" width="7.28515625" bestFit="1" customWidth="1"/>
    <col min="38" max="38" width="8.5703125" bestFit="1" customWidth="1"/>
    <col min="39" max="41" width="9" bestFit="1" customWidth="1"/>
    <col min="42" max="42" width="11.85546875" bestFit="1" customWidth="1"/>
    <col min="43" max="43" width="8" bestFit="1" customWidth="1"/>
    <col min="44" max="44" width="11.140625" bestFit="1" customWidth="1"/>
    <col min="45" max="45" width="8.85546875" bestFit="1" customWidth="1"/>
    <col min="46" max="46" width="7.85546875" bestFit="1" customWidth="1"/>
    <col min="47" max="47" width="6.42578125" bestFit="1" customWidth="1"/>
    <col min="48" max="48" width="8.42578125" bestFit="1" customWidth="1"/>
    <col min="49" max="49" width="8.85546875" bestFit="1" customWidth="1"/>
    <col min="50" max="50" width="8.5703125" bestFit="1" customWidth="1"/>
    <col min="51" max="51" width="11.85546875" bestFit="1" customWidth="1"/>
    <col min="53" max="53" width="7.42578125" bestFit="1" customWidth="1"/>
    <col min="54" max="54" width="11.42578125" bestFit="1" customWidth="1"/>
    <col min="55" max="55" width="12.28515625" bestFit="1" customWidth="1"/>
    <col min="56" max="56" width="10.7109375" bestFit="1" customWidth="1"/>
    <col min="57" max="57" width="12.28515625" bestFit="1" customWidth="1"/>
    <col min="58" max="58" width="7.28515625" bestFit="1" customWidth="1"/>
    <col min="59" max="59" width="9" bestFit="1" customWidth="1"/>
    <col min="61" max="61" width="12.28515625" bestFit="1" customWidth="1"/>
    <col min="62" max="62" width="8.5703125" bestFit="1" customWidth="1"/>
    <col min="64" max="64" width="8.42578125" bestFit="1" customWidth="1"/>
    <col min="65" max="65" width="7.5703125" bestFit="1" customWidth="1"/>
    <col min="66" max="66" width="6.42578125" bestFit="1" customWidth="1"/>
    <col min="70" max="70" width="6.28515625" bestFit="1" customWidth="1"/>
    <col min="71" max="71" width="7.42578125" bestFit="1" customWidth="1"/>
    <col min="72" max="72" width="8" bestFit="1" customWidth="1"/>
    <col min="73" max="73" width="6.28515625" bestFit="1" customWidth="1"/>
    <col min="74" max="74" width="8.28515625" bestFit="1" customWidth="1"/>
    <col min="75" max="75" width="8.42578125" bestFit="1" customWidth="1"/>
    <col min="76" max="76" width="8" bestFit="1" customWidth="1"/>
    <col min="77" max="77" width="4.5703125" bestFit="1" customWidth="1"/>
    <col min="78" max="78" width="3.7109375" bestFit="1" customWidth="1"/>
    <col min="79" max="79" width="6.42578125" bestFit="1" customWidth="1"/>
    <col min="80" max="80" width="42.42578125" bestFit="1" customWidth="1"/>
    <col min="81" max="81" width="17.7109375" bestFit="1" customWidth="1"/>
    <col min="82" max="82" width="41.140625" bestFit="1" customWidth="1"/>
    <col min="83" max="83" width="17.7109375" bestFit="1" customWidth="1"/>
    <col min="84" max="84" width="40.5703125" bestFit="1" customWidth="1"/>
  </cols>
  <sheetData>
    <row r="1" spans="1:84" ht="61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spans="1:84" ht="32.25" thickBot="1" x14ac:dyDescent="0.3">
      <c r="A2" s="3">
        <v>2797828</v>
      </c>
      <c r="B2" s="3">
        <v>1</v>
      </c>
      <c r="C2" s="4" t="s">
        <v>84</v>
      </c>
      <c r="D2" s="5">
        <v>45764</v>
      </c>
      <c r="E2" s="6" t="s">
        <v>85</v>
      </c>
      <c r="F2" s="4">
        <v>10001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3">
        <v>1</v>
      </c>
      <c r="M2" s="3">
        <v>5</v>
      </c>
      <c r="N2" s="3">
        <v>5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4"/>
      <c r="U2" s="3">
        <v>0</v>
      </c>
      <c r="V2" s="4" t="s">
        <v>91</v>
      </c>
      <c r="W2" s="4" t="s">
        <v>92</v>
      </c>
      <c r="X2" s="3">
        <v>0</v>
      </c>
      <c r="Y2" s="4"/>
      <c r="Z2" s="4"/>
      <c r="AA2" s="6" t="s">
        <v>93</v>
      </c>
      <c r="AB2" s="3">
        <v>0</v>
      </c>
      <c r="AC2" s="3">
        <v>0</v>
      </c>
      <c r="AD2" s="4"/>
      <c r="AE2" s="4" t="s">
        <v>94</v>
      </c>
      <c r="AF2" s="4"/>
      <c r="AG2" s="4" t="s">
        <v>90</v>
      </c>
      <c r="AH2" s="4" t="s">
        <v>89</v>
      </c>
      <c r="AI2" s="5">
        <v>45757</v>
      </c>
      <c r="AJ2" s="4"/>
      <c r="AK2" s="3">
        <v>0</v>
      </c>
      <c r="AL2" s="3">
        <v>0</v>
      </c>
      <c r="AM2" s="3">
        <v>0</v>
      </c>
      <c r="AN2" s="6" t="s">
        <v>95</v>
      </c>
      <c r="AO2" s="3">
        <v>40000</v>
      </c>
      <c r="AP2" s="5">
        <v>45764</v>
      </c>
      <c r="AQ2" s="6"/>
      <c r="AR2" s="4"/>
      <c r="AS2" s="3">
        <v>0</v>
      </c>
      <c r="AT2" s="4" t="s">
        <v>96</v>
      </c>
      <c r="AU2" s="4"/>
      <c r="AV2" s="4" t="s">
        <v>94</v>
      </c>
      <c r="AW2" s="4" t="s">
        <v>94</v>
      </c>
      <c r="AX2" s="4" t="s">
        <v>96</v>
      </c>
      <c r="AY2" s="5">
        <v>45764</v>
      </c>
      <c r="AZ2" s="6" t="s">
        <v>97</v>
      </c>
      <c r="BA2" s="6"/>
      <c r="BB2" s="3">
        <v>0</v>
      </c>
      <c r="BC2" s="3">
        <v>500</v>
      </c>
      <c r="BD2" s="3">
        <v>0</v>
      </c>
      <c r="BE2" s="3">
        <v>500</v>
      </c>
      <c r="BF2" s="3">
        <v>0</v>
      </c>
      <c r="BG2" s="3">
        <v>0</v>
      </c>
      <c r="BH2" s="3">
        <v>0</v>
      </c>
      <c r="BI2" s="3">
        <v>500</v>
      </c>
      <c r="BJ2" s="3">
        <v>0</v>
      </c>
      <c r="BK2" s="3">
        <v>0</v>
      </c>
      <c r="BL2" s="4"/>
      <c r="BM2" s="4"/>
      <c r="BN2" s="4"/>
      <c r="BO2" s="4"/>
      <c r="BP2" s="4"/>
      <c r="BQ2" s="4"/>
      <c r="BR2" s="4"/>
      <c r="BS2" s="4"/>
      <c r="BT2" s="3"/>
      <c r="BU2" s="4"/>
      <c r="BV2" s="4" t="s">
        <v>94</v>
      </c>
      <c r="BW2" s="4" t="s">
        <v>94</v>
      </c>
      <c r="BX2" s="3">
        <v>0</v>
      </c>
      <c r="BY2" s="6"/>
      <c r="BZ2" s="4"/>
      <c r="CA2" s="4"/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100</v>
      </c>
    </row>
    <row r="3" spans="1:84" ht="32.25" thickBot="1" x14ac:dyDescent="0.3">
      <c r="A3" s="3">
        <v>2797829</v>
      </c>
      <c r="B3" s="3">
        <v>3</v>
      </c>
      <c r="C3" s="4" t="s">
        <v>84</v>
      </c>
      <c r="D3" s="5">
        <v>45757</v>
      </c>
      <c r="E3" s="6" t="s">
        <v>85</v>
      </c>
      <c r="F3" s="4">
        <v>10001</v>
      </c>
      <c r="G3" s="4" t="s">
        <v>102</v>
      </c>
      <c r="H3" s="4" t="s">
        <v>87</v>
      </c>
      <c r="I3" s="4" t="s">
        <v>88</v>
      </c>
      <c r="J3" s="4" t="s">
        <v>89</v>
      </c>
      <c r="K3" s="4" t="s">
        <v>90</v>
      </c>
      <c r="L3" s="3">
        <v>3</v>
      </c>
      <c r="M3" s="3">
        <v>2</v>
      </c>
      <c r="N3" s="3">
        <v>2</v>
      </c>
      <c r="O3" s="3">
        <v>0</v>
      </c>
      <c r="P3" s="7">
        <v>40000</v>
      </c>
      <c r="Q3" s="3">
        <v>0</v>
      </c>
      <c r="R3" s="3">
        <v>0</v>
      </c>
      <c r="S3" s="3">
        <v>0</v>
      </c>
      <c r="T3" s="4"/>
      <c r="U3" s="3">
        <v>0</v>
      </c>
      <c r="V3" s="4" t="s">
        <v>103</v>
      </c>
      <c r="W3" s="4" t="s">
        <v>92</v>
      </c>
      <c r="X3" s="3">
        <v>0</v>
      </c>
      <c r="Y3" s="4"/>
      <c r="Z3" s="4"/>
      <c r="AA3" s="6" t="s">
        <v>93</v>
      </c>
      <c r="AB3" s="3">
        <v>0</v>
      </c>
      <c r="AC3" s="3">
        <v>0</v>
      </c>
      <c r="AD3" s="4"/>
      <c r="AE3" s="4" t="s">
        <v>94</v>
      </c>
      <c r="AF3" s="4"/>
      <c r="AG3" s="4" t="s">
        <v>90</v>
      </c>
      <c r="AH3" s="4" t="s">
        <v>89</v>
      </c>
      <c r="AI3" s="5">
        <v>45757</v>
      </c>
      <c r="AJ3" s="4"/>
      <c r="AK3" s="3">
        <v>0</v>
      </c>
      <c r="AL3" s="3">
        <v>0</v>
      </c>
      <c r="AM3" s="3">
        <v>0</v>
      </c>
      <c r="AN3" s="6" t="s">
        <v>95</v>
      </c>
      <c r="AO3" s="3">
        <v>30000</v>
      </c>
      <c r="AP3" s="5">
        <v>45757</v>
      </c>
      <c r="AQ3" s="6"/>
      <c r="AR3" s="4"/>
      <c r="AS3" s="3">
        <v>0</v>
      </c>
      <c r="AT3" s="4" t="s">
        <v>96</v>
      </c>
      <c r="AU3" s="4"/>
      <c r="AV3" s="4" t="s">
        <v>94</v>
      </c>
      <c r="AW3" s="4" t="s">
        <v>94</v>
      </c>
      <c r="AX3" s="4" t="s">
        <v>96</v>
      </c>
      <c r="AY3" s="5">
        <v>45757</v>
      </c>
      <c r="AZ3" s="6" t="s">
        <v>97</v>
      </c>
      <c r="BA3" s="6"/>
      <c r="BB3" s="3">
        <v>0</v>
      </c>
      <c r="BC3" s="7">
        <v>80000</v>
      </c>
      <c r="BD3" s="3">
        <v>0</v>
      </c>
      <c r="BE3" s="7">
        <v>80000</v>
      </c>
      <c r="BF3" s="3">
        <v>0</v>
      </c>
      <c r="BG3" s="3">
        <v>0</v>
      </c>
      <c r="BH3" s="3">
        <v>0</v>
      </c>
      <c r="BI3" s="7">
        <v>80000</v>
      </c>
      <c r="BJ3" s="3">
        <v>0</v>
      </c>
      <c r="BK3" s="3">
        <v>0</v>
      </c>
      <c r="BL3" s="4"/>
      <c r="BM3" s="4"/>
      <c r="BN3" s="4"/>
      <c r="BO3" s="4"/>
      <c r="BP3" s="4"/>
      <c r="BQ3" s="4"/>
      <c r="BR3" s="4"/>
      <c r="BS3" s="4"/>
      <c r="BT3" s="3"/>
      <c r="BU3" s="4"/>
      <c r="BV3" s="4" t="s">
        <v>94</v>
      </c>
      <c r="BW3" s="4" t="s">
        <v>94</v>
      </c>
      <c r="BX3" s="3">
        <v>0</v>
      </c>
      <c r="BY3" s="6"/>
      <c r="BZ3" s="4"/>
      <c r="CA3" s="4"/>
      <c r="CB3" s="4" t="s">
        <v>104</v>
      </c>
      <c r="CC3" s="4" t="s">
        <v>105</v>
      </c>
      <c r="CD3" s="4" t="s">
        <v>106</v>
      </c>
      <c r="CE3" s="4" t="s">
        <v>101</v>
      </c>
      <c r="CF3" s="4" t="s">
        <v>100</v>
      </c>
    </row>
    <row r="4" spans="1:84" ht="32.25" thickBot="1" x14ac:dyDescent="0.3">
      <c r="A4" s="3">
        <v>2797830</v>
      </c>
      <c r="B4" s="3">
        <v>18</v>
      </c>
      <c r="C4" s="4" t="s">
        <v>84</v>
      </c>
      <c r="D4" s="5">
        <v>45765</v>
      </c>
      <c r="E4" s="6" t="s">
        <v>85</v>
      </c>
      <c r="F4" s="4">
        <v>10001</v>
      </c>
      <c r="G4" s="4" t="s">
        <v>107</v>
      </c>
      <c r="H4" s="4" t="s">
        <v>87</v>
      </c>
      <c r="I4" s="4" t="s">
        <v>88</v>
      </c>
      <c r="J4" s="4" t="s">
        <v>89</v>
      </c>
      <c r="K4" s="4" t="s">
        <v>90</v>
      </c>
      <c r="L4" s="3">
        <v>1</v>
      </c>
      <c r="M4" s="3">
        <v>5</v>
      </c>
      <c r="N4" s="3">
        <v>0</v>
      </c>
      <c r="O4" s="3">
        <v>5</v>
      </c>
      <c r="P4" s="3">
        <v>95</v>
      </c>
      <c r="Q4" s="3">
        <v>0</v>
      </c>
      <c r="R4" s="3">
        <v>0</v>
      </c>
      <c r="S4" s="3">
        <v>0</v>
      </c>
      <c r="T4" s="4"/>
      <c r="U4" s="3">
        <v>0</v>
      </c>
      <c r="V4" s="4" t="s">
        <v>91</v>
      </c>
      <c r="W4" s="4" t="s">
        <v>92</v>
      </c>
      <c r="X4" s="3">
        <v>0</v>
      </c>
      <c r="Y4" s="4"/>
      <c r="Z4" s="4"/>
      <c r="AA4" s="6" t="s">
        <v>93</v>
      </c>
      <c r="AB4" s="3">
        <v>475</v>
      </c>
      <c r="AC4" s="3">
        <v>475</v>
      </c>
      <c r="AD4" s="4"/>
      <c r="AE4" s="4" t="s">
        <v>94</v>
      </c>
      <c r="AF4" s="4"/>
      <c r="AG4" s="4" t="s">
        <v>90</v>
      </c>
      <c r="AH4" s="4" t="s">
        <v>89</v>
      </c>
      <c r="AI4" s="5">
        <v>45765</v>
      </c>
      <c r="AJ4" s="4" t="s">
        <v>108</v>
      </c>
      <c r="AK4" s="3">
        <v>0</v>
      </c>
      <c r="AL4" s="3">
        <v>0</v>
      </c>
      <c r="AM4" s="3">
        <v>0</v>
      </c>
      <c r="AN4" s="6" t="s">
        <v>109</v>
      </c>
      <c r="AO4" s="3">
        <v>20000</v>
      </c>
      <c r="AP4" s="5">
        <v>45765</v>
      </c>
      <c r="AQ4" s="6"/>
      <c r="AR4" s="4"/>
      <c r="AS4" s="3">
        <v>0</v>
      </c>
      <c r="AT4" s="4" t="s">
        <v>94</v>
      </c>
      <c r="AU4" s="4"/>
      <c r="AV4" s="4" t="s">
        <v>94</v>
      </c>
      <c r="AW4" s="4" t="s">
        <v>94</v>
      </c>
      <c r="AX4" s="4" t="s">
        <v>96</v>
      </c>
      <c r="AY4" s="5">
        <v>45764</v>
      </c>
      <c r="AZ4" s="6" t="s">
        <v>97</v>
      </c>
      <c r="BA4" s="6"/>
      <c r="BB4" s="3">
        <v>475</v>
      </c>
      <c r="BC4" s="3">
        <v>-500</v>
      </c>
      <c r="BD4" s="3">
        <v>0</v>
      </c>
      <c r="BE4" s="3">
        <v>-500</v>
      </c>
      <c r="BF4" s="3">
        <v>0</v>
      </c>
      <c r="BG4" s="3">
        <v>0</v>
      </c>
      <c r="BH4" s="3">
        <v>0</v>
      </c>
      <c r="BI4" s="3">
        <v>-500</v>
      </c>
      <c r="BJ4" s="3">
        <v>0</v>
      </c>
      <c r="BK4" s="3">
        <v>0</v>
      </c>
      <c r="BL4" s="4"/>
      <c r="BM4" s="4"/>
      <c r="BN4" s="4"/>
      <c r="BO4" s="4"/>
      <c r="BP4" s="4"/>
      <c r="BQ4" s="4"/>
      <c r="BR4" s="4"/>
      <c r="BS4" s="4"/>
      <c r="BT4" s="3"/>
      <c r="BU4" s="4"/>
      <c r="BV4" s="4" t="s">
        <v>94</v>
      </c>
      <c r="BW4" s="4" t="s">
        <v>94</v>
      </c>
      <c r="BX4" s="3">
        <v>0</v>
      </c>
      <c r="BY4" s="6"/>
      <c r="BZ4" s="4"/>
      <c r="CA4" s="4"/>
      <c r="CB4" s="4" t="s">
        <v>110</v>
      </c>
      <c r="CC4" s="4" t="s">
        <v>111</v>
      </c>
      <c r="CD4" s="4" t="s">
        <v>100</v>
      </c>
      <c r="CE4" s="4" t="s">
        <v>101</v>
      </c>
      <c r="CF4" s="4" t="s">
        <v>100</v>
      </c>
    </row>
    <row r="5" spans="1:84" ht="32.25" thickBot="1" x14ac:dyDescent="0.3">
      <c r="A5" s="3">
        <v>2797831</v>
      </c>
      <c r="B5" s="3">
        <v>42</v>
      </c>
      <c r="C5" s="4" t="s">
        <v>84</v>
      </c>
      <c r="D5" s="5">
        <v>45777</v>
      </c>
      <c r="E5" s="6" t="s">
        <v>85</v>
      </c>
      <c r="F5" s="4">
        <v>10001</v>
      </c>
      <c r="G5" s="4" t="s">
        <v>112</v>
      </c>
      <c r="H5" s="4" t="s">
        <v>87</v>
      </c>
      <c r="I5" s="4" t="s">
        <v>88</v>
      </c>
      <c r="J5" s="4" t="s">
        <v>89</v>
      </c>
      <c r="K5" s="4" t="s">
        <v>90</v>
      </c>
      <c r="L5" s="3">
        <v>32</v>
      </c>
      <c r="M5" s="3">
        <v>100</v>
      </c>
      <c r="N5" s="3">
        <v>100</v>
      </c>
      <c r="O5" s="3">
        <v>0</v>
      </c>
      <c r="P5" s="7">
        <v>4000</v>
      </c>
      <c r="Q5" s="3">
        <v>0</v>
      </c>
      <c r="R5" s="3">
        <v>0</v>
      </c>
      <c r="S5" s="3">
        <v>0</v>
      </c>
      <c r="T5" s="4"/>
      <c r="U5" s="3">
        <v>0</v>
      </c>
      <c r="V5" s="4" t="s">
        <v>91</v>
      </c>
      <c r="W5" s="4" t="s">
        <v>92</v>
      </c>
      <c r="X5" s="3">
        <v>0</v>
      </c>
      <c r="Y5" s="4"/>
      <c r="Z5" s="4" t="s">
        <v>90</v>
      </c>
      <c r="AA5" s="6" t="s">
        <v>93</v>
      </c>
      <c r="AB5" s="3">
        <v>0</v>
      </c>
      <c r="AC5" s="3">
        <v>0</v>
      </c>
      <c r="AD5" s="4"/>
      <c r="AE5" s="4" t="s">
        <v>94</v>
      </c>
      <c r="AF5" s="4"/>
      <c r="AG5" s="4" t="s">
        <v>90</v>
      </c>
      <c r="AH5" s="4" t="s">
        <v>89</v>
      </c>
      <c r="AI5" s="5">
        <v>45757</v>
      </c>
      <c r="AJ5" s="4"/>
      <c r="AK5" s="3">
        <v>0</v>
      </c>
      <c r="AL5" s="3">
        <v>0</v>
      </c>
      <c r="AM5" s="3">
        <v>0</v>
      </c>
      <c r="AN5" s="6" t="s">
        <v>95</v>
      </c>
      <c r="AO5" s="3">
        <v>20000</v>
      </c>
      <c r="AP5" s="5">
        <v>45777</v>
      </c>
      <c r="AQ5" s="6"/>
      <c r="AR5" s="4"/>
      <c r="AS5" s="3">
        <v>0</v>
      </c>
      <c r="AT5" s="4" t="s">
        <v>96</v>
      </c>
      <c r="AU5" s="4"/>
      <c r="AV5" s="4" t="s">
        <v>94</v>
      </c>
      <c r="AW5" s="4" t="s">
        <v>94</v>
      </c>
      <c r="AX5" s="4" t="s">
        <v>96</v>
      </c>
      <c r="AY5" s="5">
        <v>45777</v>
      </c>
      <c r="AZ5" s="6" t="s">
        <v>97</v>
      </c>
      <c r="BA5" s="6"/>
      <c r="BB5" s="3">
        <v>0</v>
      </c>
      <c r="BC5" s="7">
        <v>400000</v>
      </c>
      <c r="BD5" s="3">
        <v>0</v>
      </c>
      <c r="BE5" s="7">
        <v>400000</v>
      </c>
      <c r="BF5" s="3">
        <v>0</v>
      </c>
      <c r="BG5" s="3">
        <v>0</v>
      </c>
      <c r="BH5" s="3">
        <v>0</v>
      </c>
      <c r="BI5" s="7">
        <v>400000</v>
      </c>
      <c r="BJ5" s="3">
        <v>0</v>
      </c>
      <c r="BK5" s="3">
        <v>1</v>
      </c>
      <c r="BL5" s="4"/>
      <c r="BM5" s="4"/>
      <c r="BN5" s="4"/>
      <c r="BO5" s="4"/>
      <c r="BP5" s="4"/>
      <c r="BQ5" s="4"/>
      <c r="BR5" s="4"/>
      <c r="BS5" s="4"/>
      <c r="BT5" s="3"/>
      <c r="BU5" s="4"/>
      <c r="BV5" s="4" t="s">
        <v>94</v>
      </c>
      <c r="BW5" s="4" t="s">
        <v>94</v>
      </c>
      <c r="BX5" s="3">
        <v>0</v>
      </c>
      <c r="BY5" s="6"/>
      <c r="BZ5" s="4"/>
      <c r="CA5" s="4"/>
      <c r="CB5" s="4" t="s">
        <v>113</v>
      </c>
      <c r="CC5" s="4" t="s">
        <v>114</v>
      </c>
      <c r="CD5" s="4" t="s">
        <v>100</v>
      </c>
      <c r="CE5" s="4" t="s">
        <v>101</v>
      </c>
      <c r="CF5" s="4" t="s">
        <v>100</v>
      </c>
    </row>
    <row r="6" spans="1:84" ht="32.25" thickBot="1" x14ac:dyDescent="0.3">
      <c r="A6" s="3">
        <v>2797832</v>
      </c>
      <c r="B6" s="3">
        <v>44</v>
      </c>
      <c r="C6" s="4" t="s">
        <v>84</v>
      </c>
      <c r="D6" s="5">
        <v>45777</v>
      </c>
      <c r="E6" s="6" t="s">
        <v>85</v>
      </c>
      <c r="F6" s="4">
        <v>10001</v>
      </c>
      <c r="G6" s="4" t="s">
        <v>112</v>
      </c>
      <c r="H6" s="4" t="s">
        <v>87</v>
      </c>
      <c r="I6" s="4" t="s">
        <v>88</v>
      </c>
      <c r="J6" s="4" t="s">
        <v>89</v>
      </c>
      <c r="K6" s="4" t="s">
        <v>90</v>
      </c>
      <c r="L6" s="3">
        <v>34</v>
      </c>
      <c r="M6" s="3">
        <v>200</v>
      </c>
      <c r="N6" s="3">
        <v>200</v>
      </c>
      <c r="O6" s="3">
        <v>0</v>
      </c>
      <c r="P6" s="7">
        <v>4000</v>
      </c>
      <c r="Q6" s="3">
        <v>0</v>
      </c>
      <c r="R6" s="3">
        <v>0</v>
      </c>
      <c r="S6" s="3">
        <v>0</v>
      </c>
      <c r="T6" s="4"/>
      <c r="U6" s="3">
        <v>0</v>
      </c>
      <c r="V6" s="4" t="s">
        <v>91</v>
      </c>
      <c r="W6" s="4" t="s">
        <v>92</v>
      </c>
      <c r="X6" s="3">
        <v>0</v>
      </c>
      <c r="Y6" s="4"/>
      <c r="Z6" s="4" t="s">
        <v>115</v>
      </c>
      <c r="AA6" s="6" t="s">
        <v>93</v>
      </c>
      <c r="AB6" s="3">
        <v>0</v>
      </c>
      <c r="AC6" s="3">
        <v>0</v>
      </c>
      <c r="AD6" s="4"/>
      <c r="AE6" s="4" t="s">
        <v>94</v>
      </c>
      <c r="AF6" s="4"/>
      <c r="AG6" s="4" t="s">
        <v>90</v>
      </c>
      <c r="AH6" s="4" t="s">
        <v>89</v>
      </c>
      <c r="AI6" s="5">
        <v>45757</v>
      </c>
      <c r="AJ6" s="4"/>
      <c r="AK6" s="3">
        <v>0</v>
      </c>
      <c r="AL6" s="3">
        <v>0</v>
      </c>
      <c r="AM6" s="3">
        <v>0</v>
      </c>
      <c r="AN6" s="6" t="s">
        <v>95</v>
      </c>
      <c r="AO6" s="3">
        <v>40000</v>
      </c>
      <c r="AP6" s="5">
        <v>45777</v>
      </c>
      <c r="AQ6" s="6"/>
      <c r="AR6" s="4"/>
      <c r="AS6" s="3">
        <v>0</v>
      </c>
      <c r="AT6" s="4" t="s">
        <v>96</v>
      </c>
      <c r="AU6" s="4"/>
      <c r="AV6" s="4" t="s">
        <v>94</v>
      </c>
      <c r="AW6" s="4" t="s">
        <v>94</v>
      </c>
      <c r="AX6" s="4" t="s">
        <v>96</v>
      </c>
      <c r="AY6" s="5">
        <v>45777</v>
      </c>
      <c r="AZ6" s="6" t="s">
        <v>97</v>
      </c>
      <c r="BA6" s="6"/>
      <c r="BB6" s="3">
        <v>0</v>
      </c>
      <c r="BC6" s="7">
        <v>800000</v>
      </c>
      <c r="BD6" s="3">
        <v>0</v>
      </c>
      <c r="BE6" s="7">
        <v>800000</v>
      </c>
      <c r="BF6" s="3">
        <v>0</v>
      </c>
      <c r="BG6" s="3">
        <v>0</v>
      </c>
      <c r="BH6" s="3">
        <v>0</v>
      </c>
      <c r="BI6" s="7">
        <v>800000</v>
      </c>
      <c r="BJ6" s="3">
        <v>0</v>
      </c>
      <c r="BK6" s="3">
        <v>2</v>
      </c>
      <c r="BL6" s="4"/>
      <c r="BM6" s="4"/>
      <c r="BN6" s="4"/>
      <c r="BO6" s="4"/>
      <c r="BP6" s="4"/>
      <c r="BQ6" s="4"/>
      <c r="BR6" s="4"/>
      <c r="BS6" s="4"/>
      <c r="BT6" s="3"/>
      <c r="BU6" s="4"/>
      <c r="BV6" s="4" t="s">
        <v>94</v>
      </c>
      <c r="BW6" s="4" t="s">
        <v>94</v>
      </c>
      <c r="BX6" s="3">
        <v>0</v>
      </c>
      <c r="BY6" s="6"/>
      <c r="BZ6" s="4"/>
      <c r="CA6" s="4"/>
      <c r="CB6" s="4" t="s">
        <v>116</v>
      </c>
      <c r="CC6" s="4" t="s">
        <v>114</v>
      </c>
      <c r="CD6" s="4" t="s">
        <v>100</v>
      </c>
      <c r="CE6" s="4" t="s">
        <v>101</v>
      </c>
      <c r="CF6" s="4" t="s">
        <v>100</v>
      </c>
    </row>
    <row r="7" spans="1:84" ht="32.25" thickBot="1" x14ac:dyDescent="0.3">
      <c r="A7" s="3">
        <v>2797833</v>
      </c>
      <c r="B7" s="3">
        <v>46</v>
      </c>
      <c r="C7" s="4" t="s">
        <v>84</v>
      </c>
      <c r="D7" s="5">
        <v>45777</v>
      </c>
      <c r="E7" s="6" t="s">
        <v>85</v>
      </c>
      <c r="F7" s="4">
        <v>10001</v>
      </c>
      <c r="G7" s="4" t="s">
        <v>117</v>
      </c>
      <c r="H7" s="4" t="s">
        <v>87</v>
      </c>
      <c r="I7" s="4" t="s">
        <v>88</v>
      </c>
      <c r="J7" s="4" t="s">
        <v>89</v>
      </c>
      <c r="K7" s="4" t="s">
        <v>90</v>
      </c>
      <c r="L7" s="3">
        <v>32</v>
      </c>
      <c r="M7" s="3">
        <v>100</v>
      </c>
      <c r="N7" s="3">
        <v>0</v>
      </c>
      <c r="O7" s="3">
        <v>100</v>
      </c>
      <c r="P7" s="7">
        <v>4000</v>
      </c>
      <c r="Q7" s="3">
        <v>0</v>
      </c>
      <c r="R7" s="3">
        <v>0</v>
      </c>
      <c r="S7" s="3">
        <v>0</v>
      </c>
      <c r="T7" s="4"/>
      <c r="U7" s="3">
        <v>0</v>
      </c>
      <c r="V7" s="4" t="s">
        <v>91</v>
      </c>
      <c r="W7" s="4" t="s">
        <v>92</v>
      </c>
      <c r="X7" s="3">
        <v>0</v>
      </c>
      <c r="Y7" s="4"/>
      <c r="Z7" s="4" t="s">
        <v>90</v>
      </c>
      <c r="AA7" s="6" t="s">
        <v>93</v>
      </c>
      <c r="AB7" s="7">
        <v>400000</v>
      </c>
      <c r="AC7" s="7">
        <v>400000</v>
      </c>
      <c r="AD7" s="4"/>
      <c r="AE7" s="4" t="s">
        <v>94</v>
      </c>
      <c r="AF7" s="4"/>
      <c r="AG7" s="4" t="s">
        <v>90</v>
      </c>
      <c r="AH7" s="4" t="s">
        <v>89</v>
      </c>
      <c r="AI7" s="5">
        <v>45764</v>
      </c>
      <c r="AJ7" s="4">
        <v>354513</v>
      </c>
      <c r="AK7" s="3">
        <v>0</v>
      </c>
      <c r="AL7" s="3">
        <v>0</v>
      </c>
      <c r="AM7" s="3">
        <v>0</v>
      </c>
      <c r="AN7" s="6" t="s">
        <v>109</v>
      </c>
      <c r="AO7" s="3">
        <v>30000</v>
      </c>
      <c r="AP7" s="5">
        <v>45777</v>
      </c>
      <c r="AQ7" s="6"/>
      <c r="AR7" s="4"/>
      <c r="AS7" s="3">
        <v>0</v>
      </c>
      <c r="AT7" s="4" t="s">
        <v>94</v>
      </c>
      <c r="AU7" s="4"/>
      <c r="AV7" s="4" t="s">
        <v>94</v>
      </c>
      <c r="AW7" s="4" t="s">
        <v>94</v>
      </c>
      <c r="AX7" s="4" t="s">
        <v>96</v>
      </c>
      <c r="AY7" s="5">
        <v>45777</v>
      </c>
      <c r="AZ7" s="6" t="s">
        <v>97</v>
      </c>
      <c r="BA7" s="6"/>
      <c r="BB7" s="7">
        <v>400000</v>
      </c>
      <c r="BC7" s="7">
        <v>-400000</v>
      </c>
      <c r="BD7" s="3">
        <v>0</v>
      </c>
      <c r="BE7" s="7">
        <v>-400000</v>
      </c>
      <c r="BF7" s="3">
        <v>0</v>
      </c>
      <c r="BG7" s="3">
        <v>0</v>
      </c>
      <c r="BH7" s="3">
        <v>0</v>
      </c>
      <c r="BI7" s="7">
        <v>-400000</v>
      </c>
      <c r="BJ7" s="3">
        <v>0</v>
      </c>
      <c r="BK7" s="3">
        <v>1</v>
      </c>
      <c r="BL7" s="4"/>
      <c r="BM7" s="4"/>
      <c r="BN7" s="4"/>
      <c r="BO7" s="4"/>
      <c r="BP7" s="4"/>
      <c r="BQ7" s="4"/>
      <c r="BR7" s="4"/>
      <c r="BS7" s="4"/>
      <c r="BT7" s="3"/>
      <c r="BU7" s="4"/>
      <c r="BV7" s="4" t="s">
        <v>94</v>
      </c>
      <c r="BW7" s="4" t="s">
        <v>94</v>
      </c>
      <c r="BX7" s="3">
        <v>0</v>
      </c>
      <c r="BY7" s="6"/>
      <c r="BZ7" s="4"/>
      <c r="CA7" s="4"/>
      <c r="CB7" s="4" t="s">
        <v>118</v>
      </c>
      <c r="CC7" s="4" t="s">
        <v>119</v>
      </c>
      <c r="CD7" s="4" t="s">
        <v>100</v>
      </c>
      <c r="CE7" s="4" t="s">
        <v>101</v>
      </c>
      <c r="CF7" s="4" t="s">
        <v>100</v>
      </c>
    </row>
    <row r="8" spans="1:84" ht="32.25" thickBot="1" x14ac:dyDescent="0.3">
      <c r="A8" s="3">
        <v>2797834</v>
      </c>
      <c r="B8" s="3">
        <v>48</v>
      </c>
      <c r="C8" s="4" t="s">
        <v>84</v>
      </c>
      <c r="D8" s="5">
        <v>45777</v>
      </c>
      <c r="E8" s="6" t="s">
        <v>85</v>
      </c>
      <c r="F8" s="4">
        <v>10001</v>
      </c>
      <c r="G8" s="4" t="s">
        <v>117</v>
      </c>
      <c r="H8" s="4" t="s">
        <v>87</v>
      </c>
      <c r="I8" s="4" t="s">
        <v>88</v>
      </c>
      <c r="J8" s="4" t="s">
        <v>89</v>
      </c>
      <c r="K8" s="4" t="s">
        <v>90</v>
      </c>
      <c r="L8" s="3">
        <v>34</v>
      </c>
      <c r="M8" s="3">
        <v>200</v>
      </c>
      <c r="N8" s="3">
        <v>0</v>
      </c>
      <c r="O8" s="3">
        <v>200</v>
      </c>
      <c r="P8" s="7">
        <v>4000</v>
      </c>
      <c r="Q8" s="3">
        <v>0</v>
      </c>
      <c r="R8" s="3">
        <v>0</v>
      </c>
      <c r="S8" s="3">
        <v>0</v>
      </c>
      <c r="T8" s="4"/>
      <c r="U8" s="3">
        <v>0</v>
      </c>
      <c r="V8" s="4" t="s">
        <v>91</v>
      </c>
      <c r="W8" s="4" t="s">
        <v>92</v>
      </c>
      <c r="X8" s="3">
        <v>0</v>
      </c>
      <c r="Y8" s="4"/>
      <c r="Z8" s="4" t="s">
        <v>115</v>
      </c>
      <c r="AA8" s="6" t="s">
        <v>93</v>
      </c>
      <c r="AB8" s="7">
        <v>800000</v>
      </c>
      <c r="AC8" s="7">
        <v>800000</v>
      </c>
      <c r="AD8" s="4"/>
      <c r="AE8" s="4" t="s">
        <v>94</v>
      </c>
      <c r="AF8" s="4"/>
      <c r="AG8" s="4" t="s">
        <v>90</v>
      </c>
      <c r="AH8" s="4" t="s">
        <v>89</v>
      </c>
      <c r="AI8" s="5">
        <v>45764</v>
      </c>
      <c r="AJ8" s="4">
        <v>354513</v>
      </c>
      <c r="AK8" s="3">
        <v>0</v>
      </c>
      <c r="AL8" s="3">
        <v>0</v>
      </c>
      <c r="AM8" s="3">
        <v>0</v>
      </c>
      <c r="AN8" s="6" t="s">
        <v>109</v>
      </c>
      <c r="AO8" s="3">
        <v>50000</v>
      </c>
      <c r="AP8" s="5">
        <v>45777</v>
      </c>
      <c r="AQ8" s="6"/>
      <c r="AR8" s="4"/>
      <c r="AS8" s="3">
        <v>0</v>
      </c>
      <c r="AT8" s="4" t="s">
        <v>94</v>
      </c>
      <c r="AU8" s="4"/>
      <c r="AV8" s="4" t="s">
        <v>94</v>
      </c>
      <c r="AW8" s="4" t="s">
        <v>94</v>
      </c>
      <c r="AX8" s="4" t="s">
        <v>96</v>
      </c>
      <c r="AY8" s="5">
        <v>45777</v>
      </c>
      <c r="AZ8" s="6" t="s">
        <v>97</v>
      </c>
      <c r="BA8" s="6"/>
      <c r="BB8" s="7">
        <v>800000</v>
      </c>
      <c r="BC8" s="7">
        <v>-800000</v>
      </c>
      <c r="BD8" s="3">
        <v>0</v>
      </c>
      <c r="BE8" s="7">
        <v>-800000</v>
      </c>
      <c r="BF8" s="3">
        <v>0</v>
      </c>
      <c r="BG8" s="3">
        <v>0</v>
      </c>
      <c r="BH8" s="3">
        <v>0</v>
      </c>
      <c r="BI8" s="7">
        <v>-800000</v>
      </c>
      <c r="BJ8" s="3">
        <v>0</v>
      </c>
      <c r="BK8" s="3">
        <v>2</v>
      </c>
      <c r="BL8" s="4"/>
      <c r="BM8" s="4"/>
      <c r="BN8" s="4"/>
      <c r="BO8" s="4"/>
      <c r="BP8" s="4"/>
      <c r="BQ8" s="4"/>
      <c r="BR8" s="4"/>
      <c r="BS8" s="4"/>
      <c r="BT8" s="3"/>
      <c r="BU8" s="4"/>
      <c r="BV8" s="4" t="s">
        <v>94</v>
      </c>
      <c r="BW8" s="4" t="s">
        <v>94</v>
      </c>
      <c r="BX8" s="3">
        <v>0</v>
      </c>
      <c r="BY8" s="6"/>
      <c r="BZ8" s="4"/>
      <c r="CA8" s="4"/>
      <c r="CB8" s="4" t="s">
        <v>120</v>
      </c>
      <c r="CC8" s="4" t="s">
        <v>119</v>
      </c>
      <c r="CD8" s="4" t="s">
        <v>100</v>
      </c>
      <c r="CE8" s="4" t="s">
        <v>101</v>
      </c>
      <c r="CF8" s="4" t="s">
        <v>100</v>
      </c>
    </row>
    <row r="9" spans="1:84" ht="32.25" thickBot="1" x14ac:dyDescent="0.3">
      <c r="A9" s="3">
        <v>2797649</v>
      </c>
      <c r="B9" s="3">
        <v>80</v>
      </c>
      <c r="C9" s="4">
        <v>12</v>
      </c>
      <c r="D9" s="5">
        <v>45785</v>
      </c>
      <c r="E9" s="6" t="s">
        <v>121</v>
      </c>
      <c r="F9" s="4">
        <v>7003</v>
      </c>
      <c r="G9" s="4" t="s">
        <v>122</v>
      </c>
      <c r="H9" s="4" t="s">
        <v>123</v>
      </c>
      <c r="I9" s="4" t="s">
        <v>88</v>
      </c>
      <c r="J9" s="4" t="s">
        <v>89</v>
      </c>
      <c r="K9" s="4" t="s">
        <v>124</v>
      </c>
      <c r="L9" s="3">
        <v>54</v>
      </c>
      <c r="M9" s="3">
        <v>-0.50900000000000001</v>
      </c>
      <c r="N9" s="3">
        <v>-0.50900000000000001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/>
      <c r="U9" s="3">
        <v>0</v>
      </c>
      <c r="V9" s="4" t="s">
        <v>103</v>
      </c>
      <c r="W9" s="4" t="s">
        <v>125</v>
      </c>
      <c r="X9" s="3">
        <v>0</v>
      </c>
      <c r="Y9" s="4"/>
      <c r="Z9" s="4"/>
      <c r="AA9" s="6" t="s">
        <v>126</v>
      </c>
      <c r="AB9" s="3">
        <v>0</v>
      </c>
      <c r="AC9" s="3">
        <v>0</v>
      </c>
      <c r="AD9" s="4"/>
      <c r="AE9" s="4" t="s">
        <v>94</v>
      </c>
      <c r="AF9" s="4"/>
      <c r="AG9" s="4" t="s">
        <v>124</v>
      </c>
      <c r="AH9" s="4" t="s">
        <v>89</v>
      </c>
      <c r="AI9" s="5">
        <v>45785</v>
      </c>
      <c r="AJ9" s="4" t="s">
        <v>127</v>
      </c>
      <c r="AK9" s="3">
        <v>0</v>
      </c>
      <c r="AL9" s="3">
        <v>0</v>
      </c>
      <c r="AM9" s="3">
        <v>0</v>
      </c>
      <c r="AN9" s="6" t="s">
        <v>128</v>
      </c>
      <c r="AO9" s="3">
        <v>10000</v>
      </c>
      <c r="AP9" s="5">
        <v>45785</v>
      </c>
      <c r="AQ9" s="6"/>
      <c r="AR9" s="4"/>
      <c r="AS9" s="3">
        <v>0</v>
      </c>
      <c r="AT9" s="4" t="s">
        <v>96</v>
      </c>
      <c r="AU9" s="4"/>
      <c r="AV9" s="4" t="s">
        <v>94</v>
      </c>
      <c r="AW9" s="4" t="s">
        <v>94</v>
      </c>
      <c r="AX9" s="4" t="s">
        <v>96</v>
      </c>
      <c r="AY9" s="5">
        <v>45785</v>
      </c>
      <c r="AZ9" s="6" t="s">
        <v>97</v>
      </c>
      <c r="BA9" s="6"/>
      <c r="BB9" s="3">
        <v>0</v>
      </c>
      <c r="BC9" s="3">
        <v>0</v>
      </c>
      <c r="BD9" s="7">
        <v>26641.06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4"/>
      <c r="BM9" s="4"/>
      <c r="BN9" s="4"/>
      <c r="BO9" s="4"/>
      <c r="BP9" s="4"/>
      <c r="BQ9" s="4"/>
      <c r="BR9" s="4"/>
      <c r="BS9" s="4"/>
      <c r="BT9" s="3"/>
      <c r="BU9" s="4"/>
      <c r="BV9" s="4" t="s">
        <v>94</v>
      </c>
      <c r="BW9" s="4" t="s">
        <v>94</v>
      </c>
      <c r="BX9" s="3">
        <v>0</v>
      </c>
      <c r="BY9" s="6"/>
      <c r="BZ9" s="4"/>
      <c r="CA9" s="4"/>
      <c r="CB9" s="4" t="s">
        <v>129</v>
      </c>
      <c r="CC9" s="4" t="s">
        <v>130</v>
      </c>
      <c r="CD9" s="4" t="s">
        <v>106</v>
      </c>
      <c r="CE9" s="4" t="s">
        <v>101</v>
      </c>
      <c r="CF9" s="4" t="s">
        <v>100</v>
      </c>
    </row>
    <row r="10" spans="1:84" ht="32.25" thickBot="1" x14ac:dyDescent="0.3">
      <c r="A10" s="3">
        <v>2797654</v>
      </c>
      <c r="B10" s="3">
        <v>89</v>
      </c>
      <c r="C10" s="4">
        <v>12</v>
      </c>
      <c r="D10" s="5">
        <v>45785</v>
      </c>
      <c r="E10" s="6" t="s">
        <v>121</v>
      </c>
      <c r="F10" s="4">
        <v>7003</v>
      </c>
      <c r="G10" s="4" t="s">
        <v>122</v>
      </c>
      <c r="H10" s="4" t="s">
        <v>123</v>
      </c>
      <c r="I10" s="4" t="s">
        <v>88</v>
      </c>
      <c r="J10" s="4" t="s">
        <v>89</v>
      </c>
      <c r="K10" s="4" t="s">
        <v>124</v>
      </c>
      <c r="L10" s="3">
        <v>54</v>
      </c>
      <c r="M10" s="3">
        <v>-0.50900000000000001</v>
      </c>
      <c r="N10" s="3">
        <v>0</v>
      </c>
      <c r="O10" s="3">
        <v>-0.50900000000000001</v>
      </c>
      <c r="P10" s="3">
        <v>0</v>
      </c>
      <c r="Q10" s="3">
        <v>0</v>
      </c>
      <c r="R10" s="3">
        <v>0</v>
      </c>
      <c r="S10" s="3">
        <v>0</v>
      </c>
      <c r="T10" s="4"/>
      <c r="U10" s="3">
        <v>0</v>
      </c>
      <c r="V10" s="4" t="s">
        <v>131</v>
      </c>
      <c r="W10" s="4" t="s">
        <v>125</v>
      </c>
      <c r="X10" s="3">
        <v>0</v>
      </c>
      <c r="Y10" s="4"/>
      <c r="Z10" s="4"/>
      <c r="AA10" s="6" t="s">
        <v>126</v>
      </c>
      <c r="AB10" s="3">
        <v>0</v>
      </c>
      <c r="AC10" s="3">
        <v>0</v>
      </c>
      <c r="AD10" s="4"/>
      <c r="AE10" s="4" t="s">
        <v>94</v>
      </c>
      <c r="AF10" s="4"/>
      <c r="AG10" s="4" t="s">
        <v>124</v>
      </c>
      <c r="AH10" s="4" t="s">
        <v>89</v>
      </c>
      <c r="AI10" s="5">
        <v>45785</v>
      </c>
      <c r="AJ10" s="4" t="s">
        <v>127</v>
      </c>
      <c r="AK10" s="3">
        <v>0</v>
      </c>
      <c r="AL10" s="3">
        <v>0</v>
      </c>
      <c r="AM10" s="3">
        <v>0</v>
      </c>
      <c r="AN10" s="6" t="s">
        <v>128</v>
      </c>
      <c r="AO10" s="3">
        <v>10000</v>
      </c>
      <c r="AP10" s="5">
        <v>45785</v>
      </c>
      <c r="AQ10" s="6"/>
      <c r="AR10" s="4"/>
      <c r="AS10" s="3">
        <v>0</v>
      </c>
      <c r="AT10" s="4" t="s">
        <v>94</v>
      </c>
      <c r="AU10" s="4"/>
      <c r="AV10" s="4" t="s">
        <v>94</v>
      </c>
      <c r="AW10" s="4" t="s">
        <v>94</v>
      </c>
      <c r="AX10" s="4" t="s">
        <v>96</v>
      </c>
      <c r="AY10" s="5">
        <v>45785</v>
      </c>
      <c r="AZ10" s="6" t="s">
        <v>97</v>
      </c>
      <c r="BA10" s="6"/>
      <c r="BB10" s="3">
        <v>0</v>
      </c>
      <c r="BC10" s="3">
        <v>0</v>
      </c>
      <c r="BD10" s="7">
        <v>-26641.06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4"/>
      <c r="BM10" s="4"/>
      <c r="BN10" s="4"/>
      <c r="BO10" s="4"/>
      <c r="BP10" s="4"/>
      <c r="BQ10" s="4"/>
      <c r="BR10" s="4"/>
      <c r="BS10" s="4"/>
      <c r="BT10" s="3"/>
      <c r="BU10" s="4"/>
      <c r="BV10" s="4" t="s">
        <v>94</v>
      </c>
      <c r="BW10" s="4" t="s">
        <v>94</v>
      </c>
      <c r="BX10" s="3">
        <v>0</v>
      </c>
      <c r="BY10" s="6"/>
      <c r="BZ10" s="4"/>
      <c r="CA10" s="4"/>
      <c r="CB10" s="4" t="s">
        <v>132</v>
      </c>
      <c r="CC10" s="4" t="s">
        <v>133</v>
      </c>
      <c r="CD10" s="4" t="s">
        <v>134</v>
      </c>
      <c r="CE10" s="4" t="s">
        <v>101</v>
      </c>
      <c r="CF10" s="4" t="s">
        <v>100</v>
      </c>
    </row>
    <row r="11" spans="1:84" ht="32.25" thickBot="1" x14ac:dyDescent="0.3">
      <c r="A11" s="3">
        <v>2797655</v>
      </c>
      <c r="B11" s="3">
        <v>90</v>
      </c>
      <c r="C11" s="4">
        <v>12</v>
      </c>
      <c r="D11" s="5">
        <v>45785</v>
      </c>
      <c r="E11" s="6" t="s">
        <v>121</v>
      </c>
      <c r="F11" s="4">
        <v>7003</v>
      </c>
      <c r="G11" s="4" t="s">
        <v>122</v>
      </c>
      <c r="H11" s="4" t="s">
        <v>123</v>
      </c>
      <c r="I11" s="4" t="s">
        <v>88</v>
      </c>
      <c r="J11" s="4" t="s">
        <v>89</v>
      </c>
      <c r="K11" s="4" t="s">
        <v>124</v>
      </c>
      <c r="L11" s="3">
        <v>59</v>
      </c>
      <c r="M11" s="3">
        <v>0.50900000000000001</v>
      </c>
      <c r="N11" s="3">
        <v>0.50900000000000001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/>
      <c r="U11" s="3">
        <v>0</v>
      </c>
      <c r="V11" s="4" t="s">
        <v>131</v>
      </c>
      <c r="W11" s="4" t="s">
        <v>125</v>
      </c>
      <c r="X11" s="3">
        <v>0</v>
      </c>
      <c r="Y11" s="4"/>
      <c r="Z11" s="4"/>
      <c r="AA11" s="6" t="s">
        <v>126</v>
      </c>
      <c r="AB11" s="3">
        <v>0</v>
      </c>
      <c r="AC11" s="3">
        <v>0</v>
      </c>
      <c r="AD11" s="4"/>
      <c r="AE11" s="4" t="s">
        <v>94</v>
      </c>
      <c r="AF11" s="4"/>
      <c r="AG11" s="4" t="s">
        <v>124</v>
      </c>
      <c r="AH11" s="4" t="s">
        <v>89</v>
      </c>
      <c r="AI11" s="5">
        <v>45785</v>
      </c>
      <c r="AJ11" s="4" t="s">
        <v>127</v>
      </c>
      <c r="AK11" s="3">
        <v>0</v>
      </c>
      <c r="AL11" s="3">
        <v>0</v>
      </c>
      <c r="AM11" s="3">
        <v>0</v>
      </c>
      <c r="AN11" s="6" t="s">
        <v>128</v>
      </c>
      <c r="AO11" s="3">
        <v>20000</v>
      </c>
      <c r="AP11" s="5">
        <v>45785</v>
      </c>
      <c r="AQ11" s="6"/>
      <c r="AR11" s="4"/>
      <c r="AS11" s="3">
        <v>0</v>
      </c>
      <c r="AT11" s="4" t="s">
        <v>96</v>
      </c>
      <c r="AU11" s="4"/>
      <c r="AV11" s="4" t="s">
        <v>94</v>
      </c>
      <c r="AW11" s="4" t="s">
        <v>94</v>
      </c>
      <c r="AX11" s="4" t="s">
        <v>96</v>
      </c>
      <c r="AY11" s="5">
        <v>45785</v>
      </c>
      <c r="AZ11" s="6" t="s">
        <v>97</v>
      </c>
      <c r="BA11" s="6"/>
      <c r="BB11" s="3">
        <v>0</v>
      </c>
      <c r="BC11" s="3">
        <v>0</v>
      </c>
      <c r="BD11" s="7">
        <v>-26641.06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4"/>
      <c r="BM11" s="4"/>
      <c r="BN11" s="4"/>
      <c r="BO11" s="4"/>
      <c r="BP11" s="4"/>
      <c r="BQ11" s="4"/>
      <c r="BR11" s="4"/>
      <c r="BS11" s="4"/>
      <c r="BT11" s="3"/>
      <c r="BU11" s="4"/>
      <c r="BV11" s="4" t="s">
        <v>94</v>
      </c>
      <c r="BW11" s="4" t="s">
        <v>94</v>
      </c>
      <c r="BX11" s="3">
        <v>0</v>
      </c>
      <c r="BY11" s="6"/>
      <c r="BZ11" s="4"/>
      <c r="CA11" s="4"/>
      <c r="CB11" s="4" t="s">
        <v>135</v>
      </c>
      <c r="CC11" s="4" t="s">
        <v>133</v>
      </c>
      <c r="CD11" s="4" t="s">
        <v>134</v>
      </c>
      <c r="CE11" s="4" t="s">
        <v>101</v>
      </c>
      <c r="CF11" s="4" t="s">
        <v>100</v>
      </c>
    </row>
    <row r="12" spans="1:84" ht="32.25" thickBot="1" x14ac:dyDescent="0.3">
      <c r="A12" s="3">
        <v>2797656</v>
      </c>
      <c r="B12" s="3">
        <v>91</v>
      </c>
      <c r="C12" s="4">
        <v>12</v>
      </c>
      <c r="D12" s="5">
        <v>45785</v>
      </c>
      <c r="E12" s="6" t="s">
        <v>121</v>
      </c>
      <c r="F12" s="4">
        <v>7003</v>
      </c>
      <c r="G12" s="4" t="s">
        <v>122</v>
      </c>
      <c r="H12" s="4" t="s">
        <v>123</v>
      </c>
      <c r="I12" s="4" t="s">
        <v>88</v>
      </c>
      <c r="J12" s="4" t="s">
        <v>89</v>
      </c>
      <c r="K12" s="4" t="s">
        <v>124</v>
      </c>
      <c r="L12" s="3">
        <v>59</v>
      </c>
      <c r="M12" s="3">
        <v>0.50900000000000001</v>
      </c>
      <c r="N12" s="3">
        <v>0</v>
      </c>
      <c r="O12" s="3">
        <v>0.50900000000000001</v>
      </c>
      <c r="P12" s="3">
        <v>0</v>
      </c>
      <c r="Q12" s="3">
        <v>0</v>
      </c>
      <c r="R12" s="3">
        <v>0</v>
      </c>
      <c r="S12" s="3">
        <v>0</v>
      </c>
      <c r="T12" s="4"/>
      <c r="U12" s="3">
        <v>0</v>
      </c>
      <c r="V12" s="4" t="s">
        <v>131</v>
      </c>
      <c r="W12" s="4" t="s">
        <v>125</v>
      </c>
      <c r="X12" s="3">
        <v>0</v>
      </c>
      <c r="Y12" s="4"/>
      <c r="Z12" s="4"/>
      <c r="AA12" s="6" t="s">
        <v>126</v>
      </c>
      <c r="AB12" s="3">
        <v>0</v>
      </c>
      <c r="AC12" s="3">
        <v>0</v>
      </c>
      <c r="AD12" s="4"/>
      <c r="AE12" s="4" t="s">
        <v>94</v>
      </c>
      <c r="AF12" s="4"/>
      <c r="AG12" s="4" t="s">
        <v>124</v>
      </c>
      <c r="AH12" s="4" t="s">
        <v>89</v>
      </c>
      <c r="AI12" s="5">
        <v>45785</v>
      </c>
      <c r="AJ12" s="4" t="s">
        <v>127</v>
      </c>
      <c r="AK12" s="3">
        <v>0</v>
      </c>
      <c r="AL12" s="3">
        <v>0</v>
      </c>
      <c r="AM12" s="3">
        <v>0</v>
      </c>
      <c r="AN12" s="6" t="s">
        <v>128</v>
      </c>
      <c r="AO12" s="3">
        <v>20000</v>
      </c>
      <c r="AP12" s="5">
        <v>45785</v>
      </c>
      <c r="AQ12" s="6"/>
      <c r="AR12" s="4"/>
      <c r="AS12" s="3">
        <v>0</v>
      </c>
      <c r="AT12" s="4" t="s">
        <v>94</v>
      </c>
      <c r="AU12" s="4"/>
      <c r="AV12" s="4" t="s">
        <v>94</v>
      </c>
      <c r="AW12" s="4" t="s">
        <v>94</v>
      </c>
      <c r="AX12" s="4" t="s">
        <v>96</v>
      </c>
      <c r="AY12" s="5">
        <v>45785</v>
      </c>
      <c r="AZ12" s="6" t="s">
        <v>97</v>
      </c>
      <c r="BA12" s="6"/>
      <c r="BB12" s="3">
        <v>0</v>
      </c>
      <c r="BC12" s="3">
        <v>0</v>
      </c>
      <c r="BD12" s="7">
        <v>26641.06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4"/>
      <c r="BM12" s="4"/>
      <c r="BN12" s="4"/>
      <c r="BO12" s="4"/>
      <c r="BP12" s="4"/>
      <c r="BQ12" s="4"/>
      <c r="BR12" s="4"/>
      <c r="BS12" s="4"/>
      <c r="BT12" s="3"/>
      <c r="BU12" s="4"/>
      <c r="BV12" s="4" t="s">
        <v>94</v>
      </c>
      <c r="BW12" s="4" t="s">
        <v>94</v>
      </c>
      <c r="BX12" s="3">
        <v>0</v>
      </c>
      <c r="BY12" s="6"/>
      <c r="BZ12" s="4"/>
      <c r="CA12" s="4"/>
      <c r="CB12" s="4" t="s">
        <v>136</v>
      </c>
      <c r="CC12" s="4" t="s">
        <v>133</v>
      </c>
      <c r="CD12" s="4" t="s">
        <v>134</v>
      </c>
      <c r="CE12" s="4" t="s">
        <v>101</v>
      </c>
      <c r="CF12" s="4" t="s">
        <v>100</v>
      </c>
    </row>
    <row r="13" spans="1:84" ht="48" thickBot="1" x14ac:dyDescent="0.3">
      <c r="A13" s="3">
        <v>2797835</v>
      </c>
      <c r="B13" s="3">
        <v>145</v>
      </c>
      <c r="C13" s="4" t="s">
        <v>84</v>
      </c>
      <c r="D13" s="5">
        <v>45798</v>
      </c>
      <c r="E13" s="6" t="s">
        <v>137</v>
      </c>
      <c r="F13" s="4"/>
      <c r="G13" s="4" t="s">
        <v>138</v>
      </c>
      <c r="H13" s="4" t="s">
        <v>87</v>
      </c>
      <c r="I13" s="4" t="s">
        <v>88</v>
      </c>
      <c r="J13" s="4" t="s">
        <v>89</v>
      </c>
      <c r="K13" s="4"/>
      <c r="L13" s="3">
        <v>99</v>
      </c>
      <c r="M13" s="3">
        <v>-10</v>
      </c>
      <c r="N13" s="3">
        <v>-10</v>
      </c>
      <c r="O13" s="3">
        <v>-10</v>
      </c>
      <c r="P13" s="7">
        <v>9247.5</v>
      </c>
      <c r="Q13" s="3">
        <v>0</v>
      </c>
      <c r="R13" s="3">
        <v>113</v>
      </c>
      <c r="S13" s="3">
        <v>3</v>
      </c>
      <c r="T13" s="4"/>
      <c r="U13" s="3">
        <v>0</v>
      </c>
      <c r="V13" s="4" t="s">
        <v>91</v>
      </c>
      <c r="W13" s="4" t="s">
        <v>139</v>
      </c>
      <c r="X13" s="3">
        <v>0</v>
      </c>
      <c r="Y13" s="4"/>
      <c r="Z13" s="4"/>
      <c r="AA13" s="6"/>
      <c r="AB13" s="7">
        <v>-92475</v>
      </c>
      <c r="AC13" s="7">
        <v>-92475</v>
      </c>
      <c r="AD13" s="4"/>
      <c r="AE13" s="4" t="s">
        <v>94</v>
      </c>
      <c r="AF13" s="4"/>
      <c r="AG13" s="4"/>
      <c r="AH13" s="4" t="s">
        <v>89</v>
      </c>
      <c r="AI13" s="5">
        <v>45798</v>
      </c>
      <c r="AJ13" s="4"/>
      <c r="AK13" s="3">
        <v>0</v>
      </c>
      <c r="AL13" s="3">
        <v>0</v>
      </c>
      <c r="AM13" s="3">
        <v>0</v>
      </c>
      <c r="AN13" s="6" t="s">
        <v>140</v>
      </c>
      <c r="AO13" s="3">
        <v>10000</v>
      </c>
      <c r="AP13" s="5">
        <v>45798</v>
      </c>
      <c r="AQ13" s="6" t="s">
        <v>137</v>
      </c>
      <c r="AR13" s="4" t="s">
        <v>141</v>
      </c>
      <c r="AS13" s="3">
        <v>10000</v>
      </c>
      <c r="AT13" s="4" t="s">
        <v>94</v>
      </c>
      <c r="AU13" s="4"/>
      <c r="AV13" s="4" t="s">
        <v>94</v>
      </c>
      <c r="AW13" s="4" t="s">
        <v>94</v>
      </c>
      <c r="AX13" s="4" t="s">
        <v>96</v>
      </c>
      <c r="AY13" s="5">
        <v>45798</v>
      </c>
      <c r="AZ13" s="6" t="s">
        <v>97</v>
      </c>
      <c r="BA13" s="6"/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4"/>
      <c r="BM13" s="4"/>
      <c r="BN13" s="4"/>
      <c r="BO13" s="4"/>
      <c r="BP13" s="4"/>
      <c r="BQ13" s="4"/>
      <c r="BR13" s="4"/>
      <c r="BS13" s="4"/>
      <c r="BT13" s="3"/>
      <c r="BU13" s="4"/>
      <c r="BV13" s="4" t="s">
        <v>94</v>
      </c>
      <c r="BW13" s="4" t="s">
        <v>94</v>
      </c>
      <c r="BX13" s="3">
        <v>0</v>
      </c>
      <c r="BY13" s="6"/>
      <c r="BZ13" s="4"/>
      <c r="CA13" s="4"/>
      <c r="CB13" s="4" t="s">
        <v>142</v>
      </c>
      <c r="CC13" s="4" t="s">
        <v>143</v>
      </c>
      <c r="CD13" s="4" t="s">
        <v>100</v>
      </c>
      <c r="CE13" s="4" t="s">
        <v>101</v>
      </c>
      <c r="CF13" s="4" t="s">
        <v>100</v>
      </c>
    </row>
    <row r="14" spans="1:84" ht="48" thickBot="1" x14ac:dyDescent="0.3">
      <c r="A14" s="3">
        <v>2797836</v>
      </c>
      <c r="B14" s="3">
        <v>146</v>
      </c>
      <c r="C14" s="4" t="s">
        <v>84</v>
      </c>
      <c r="D14" s="5">
        <v>45798</v>
      </c>
      <c r="E14" s="6" t="s">
        <v>137</v>
      </c>
      <c r="F14" s="4"/>
      <c r="G14" s="4" t="s">
        <v>138</v>
      </c>
      <c r="H14" s="4" t="s">
        <v>87</v>
      </c>
      <c r="I14" s="4" t="s">
        <v>144</v>
      </c>
      <c r="J14" s="4" t="s">
        <v>89</v>
      </c>
      <c r="K14" s="4"/>
      <c r="L14" s="3">
        <v>100</v>
      </c>
      <c r="M14" s="3">
        <v>2</v>
      </c>
      <c r="N14" s="3">
        <v>2</v>
      </c>
      <c r="O14" s="3">
        <v>2</v>
      </c>
      <c r="P14" s="7">
        <v>40000</v>
      </c>
      <c r="Q14" s="3">
        <v>0</v>
      </c>
      <c r="R14" s="3">
        <v>113</v>
      </c>
      <c r="S14" s="3">
        <v>3</v>
      </c>
      <c r="T14" s="4"/>
      <c r="U14" s="3">
        <v>0</v>
      </c>
      <c r="V14" s="4" t="s">
        <v>91</v>
      </c>
      <c r="W14" s="4" t="s">
        <v>139</v>
      </c>
      <c r="X14" s="3">
        <v>0</v>
      </c>
      <c r="Y14" s="4"/>
      <c r="Z14" s="4"/>
      <c r="AA14" s="6"/>
      <c r="AB14" s="7">
        <v>80000</v>
      </c>
      <c r="AC14" s="7">
        <v>80000</v>
      </c>
      <c r="AD14" s="4"/>
      <c r="AE14" s="4" t="s">
        <v>94</v>
      </c>
      <c r="AF14" s="4"/>
      <c r="AG14" s="4"/>
      <c r="AH14" s="4" t="s">
        <v>89</v>
      </c>
      <c r="AI14" s="5">
        <v>45798</v>
      </c>
      <c r="AJ14" s="4"/>
      <c r="AK14" s="3">
        <v>0</v>
      </c>
      <c r="AL14" s="3">
        <v>0</v>
      </c>
      <c r="AM14" s="3">
        <v>0</v>
      </c>
      <c r="AN14" s="6" t="s">
        <v>140</v>
      </c>
      <c r="AO14" s="3">
        <v>10000</v>
      </c>
      <c r="AP14" s="5">
        <v>45798</v>
      </c>
      <c r="AQ14" s="6" t="s">
        <v>137</v>
      </c>
      <c r="AR14" s="4" t="s">
        <v>141</v>
      </c>
      <c r="AS14" s="3">
        <v>10000</v>
      </c>
      <c r="AT14" s="4" t="s">
        <v>94</v>
      </c>
      <c r="AU14" s="4"/>
      <c r="AV14" s="4" t="s">
        <v>94</v>
      </c>
      <c r="AW14" s="4" t="s">
        <v>94</v>
      </c>
      <c r="AX14" s="4" t="s">
        <v>96</v>
      </c>
      <c r="AY14" s="5">
        <v>45798</v>
      </c>
      <c r="AZ14" s="6" t="s">
        <v>97</v>
      </c>
      <c r="BA14" s="6"/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4"/>
      <c r="BM14" s="4"/>
      <c r="BN14" s="4"/>
      <c r="BO14" s="4"/>
      <c r="BP14" s="4"/>
      <c r="BQ14" s="4"/>
      <c r="BR14" s="4"/>
      <c r="BS14" s="4"/>
      <c r="BT14" s="3"/>
      <c r="BU14" s="4"/>
      <c r="BV14" s="4" t="s">
        <v>94</v>
      </c>
      <c r="BW14" s="4" t="s">
        <v>94</v>
      </c>
      <c r="BX14" s="3">
        <v>0</v>
      </c>
      <c r="BY14" s="6"/>
      <c r="BZ14" s="4"/>
      <c r="CA14" s="4"/>
      <c r="CB14" s="4" t="s">
        <v>145</v>
      </c>
      <c r="CC14" s="4" t="s">
        <v>143</v>
      </c>
      <c r="CD14" s="4" t="s">
        <v>100</v>
      </c>
      <c r="CE14" s="4" t="s">
        <v>101</v>
      </c>
      <c r="CF14" s="4" t="s">
        <v>100</v>
      </c>
    </row>
    <row r="15" spans="1:84" ht="48" thickBot="1" x14ac:dyDescent="0.3">
      <c r="A15" s="3">
        <v>2797837</v>
      </c>
      <c r="B15" s="3">
        <v>147</v>
      </c>
      <c r="C15" s="4" t="s">
        <v>84</v>
      </c>
      <c r="D15" s="5">
        <v>45798</v>
      </c>
      <c r="E15" s="6" t="s">
        <v>137</v>
      </c>
      <c r="F15" s="4"/>
      <c r="G15" s="4" t="s">
        <v>138</v>
      </c>
      <c r="H15" s="4" t="s">
        <v>87</v>
      </c>
      <c r="I15" s="4" t="s">
        <v>144</v>
      </c>
      <c r="J15" s="4" t="s">
        <v>89</v>
      </c>
      <c r="K15" s="4"/>
      <c r="L15" s="3">
        <v>101</v>
      </c>
      <c r="M15" s="3">
        <v>5</v>
      </c>
      <c r="N15" s="3">
        <v>5</v>
      </c>
      <c r="O15" s="3">
        <v>5</v>
      </c>
      <c r="P15" s="3">
        <v>95</v>
      </c>
      <c r="Q15" s="3">
        <v>0</v>
      </c>
      <c r="R15" s="3">
        <v>113</v>
      </c>
      <c r="S15" s="3">
        <v>3</v>
      </c>
      <c r="T15" s="4"/>
      <c r="U15" s="3">
        <v>0</v>
      </c>
      <c r="V15" s="4" t="s">
        <v>91</v>
      </c>
      <c r="W15" s="4" t="s">
        <v>139</v>
      </c>
      <c r="X15" s="3">
        <v>0</v>
      </c>
      <c r="Y15" s="4"/>
      <c r="Z15" s="4"/>
      <c r="AA15" s="6"/>
      <c r="AB15" s="3">
        <v>475</v>
      </c>
      <c r="AC15" s="3">
        <v>475</v>
      </c>
      <c r="AD15" s="4"/>
      <c r="AE15" s="4" t="s">
        <v>94</v>
      </c>
      <c r="AF15" s="4"/>
      <c r="AG15" s="4"/>
      <c r="AH15" s="4" t="s">
        <v>89</v>
      </c>
      <c r="AI15" s="5">
        <v>45798</v>
      </c>
      <c r="AJ15" s="4"/>
      <c r="AK15" s="3">
        <v>0</v>
      </c>
      <c r="AL15" s="3">
        <v>0</v>
      </c>
      <c r="AM15" s="3">
        <v>0</v>
      </c>
      <c r="AN15" s="6" t="s">
        <v>140</v>
      </c>
      <c r="AO15" s="3">
        <v>10000</v>
      </c>
      <c r="AP15" s="5">
        <v>45798</v>
      </c>
      <c r="AQ15" s="6" t="s">
        <v>137</v>
      </c>
      <c r="AR15" s="4" t="s">
        <v>141</v>
      </c>
      <c r="AS15" s="3">
        <v>10000</v>
      </c>
      <c r="AT15" s="4" t="s">
        <v>94</v>
      </c>
      <c r="AU15" s="4"/>
      <c r="AV15" s="4" t="s">
        <v>94</v>
      </c>
      <c r="AW15" s="4" t="s">
        <v>94</v>
      </c>
      <c r="AX15" s="4" t="s">
        <v>96</v>
      </c>
      <c r="AY15" s="5">
        <v>45798</v>
      </c>
      <c r="AZ15" s="6" t="s">
        <v>97</v>
      </c>
      <c r="BA15" s="6"/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4"/>
      <c r="BM15" s="4"/>
      <c r="BN15" s="4"/>
      <c r="BO15" s="4"/>
      <c r="BP15" s="4"/>
      <c r="BQ15" s="4"/>
      <c r="BR15" s="4"/>
      <c r="BS15" s="4"/>
      <c r="BT15" s="3"/>
      <c r="BU15" s="4"/>
      <c r="BV15" s="4" t="s">
        <v>94</v>
      </c>
      <c r="BW15" s="4" t="s">
        <v>94</v>
      </c>
      <c r="BX15" s="3">
        <v>0</v>
      </c>
      <c r="BY15" s="6"/>
      <c r="BZ15" s="4"/>
      <c r="CA15" s="4"/>
      <c r="CB15" s="4" t="s">
        <v>146</v>
      </c>
      <c r="CC15" s="4" t="s">
        <v>143</v>
      </c>
      <c r="CD15" s="4" t="s">
        <v>100</v>
      </c>
      <c r="CE15" s="4" t="s">
        <v>101</v>
      </c>
      <c r="CF15" s="4" t="s">
        <v>100</v>
      </c>
    </row>
    <row r="16" spans="1:84" ht="48" thickBot="1" x14ac:dyDescent="0.3">
      <c r="A16" s="3">
        <v>2797838</v>
      </c>
      <c r="B16" s="3">
        <v>148</v>
      </c>
      <c r="C16" s="4" t="s">
        <v>84</v>
      </c>
      <c r="D16" s="5">
        <v>45798</v>
      </c>
      <c r="E16" s="6" t="s">
        <v>137</v>
      </c>
      <c r="F16" s="4"/>
      <c r="G16" s="4" t="s">
        <v>138</v>
      </c>
      <c r="H16" s="4" t="s">
        <v>87</v>
      </c>
      <c r="I16" s="4" t="s">
        <v>144</v>
      </c>
      <c r="J16" s="4" t="s">
        <v>89</v>
      </c>
      <c r="K16" s="4"/>
      <c r="L16" s="3">
        <v>102</v>
      </c>
      <c r="M16" s="3">
        <v>3</v>
      </c>
      <c r="N16" s="3">
        <v>3</v>
      </c>
      <c r="O16" s="3">
        <v>3</v>
      </c>
      <c r="P16" s="7">
        <v>4000</v>
      </c>
      <c r="Q16" s="3">
        <v>0</v>
      </c>
      <c r="R16" s="3">
        <v>113</v>
      </c>
      <c r="S16" s="3">
        <v>3</v>
      </c>
      <c r="T16" s="4"/>
      <c r="U16" s="3">
        <v>0</v>
      </c>
      <c r="V16" s="4" t="s">
        <v>91</v>
      </c>
      <c r="W16" s="4" t="s">
        <v>139</v>
      </c>
      <c r="X16" s="3">
        <v>0</v>
      </c>
      <c r="Y16" s="4"/>
      <c r="Z16" s="4"/>
      <c r="AA16" s="6"/>
      <c r="AB16" s="7">
        <v>12000</v>
      </c>
      <c r="AC16" s="7">
        <v>12000</v>
      </c>
      <c r="AD16" s="4"/>
      <c r="AE16" s="4" t="s">
        <v>94</v>
      </c>
      <c r="AF16" s="4"/>
      <c r="AG16" s="4"/>
      <c r="AH16" s="4" t="s">
        <v>89</v>
      </c>
      <c r="AI16" s="5">
        <v>45798</v>
      </c>
      <c r="AJ16" s="4"/>
      <c r="AK16" s="3">
        <v>0</v>
      </c>
      <c r="AL16" s="3">
        <v>0</v>
      </c>
      <c r="AM16" s="3">
        <v>0</v>
      </c>
      <c r="AN16" s="6" t="s">
        <v>140</v>
      </c>
      <c r="AO16" s="3">
        <v>10000</v>
      </c>
      <c r="AP16" s="5">
        <v>45798</v>
      </c>
      <c r="AQ16" s="6" t="s">
        <v>137</v>
      </c>
      <c r="AR16" s="4" t="s">
        <v>141</v>
      </c>
      <c r="AS16" s="3">
        <v>10000</v>
      </c>
      <c r="AT16" s="4" t="s">
        <v>94</v>
      </c>
      <c r="AU16" s="4"/>
      <c r="AV16" s="4" t="s">
        <v>94</v>
      </c>
      <c r="AW16" s="4" t="s">
        <v>94</v>
      </c>
      <c r="AX16" s="4" t="s">
        <v>96</v>
      </c>
      <c r="AY16" s="5">
        <v>45798</v>
      </c>
      <c r="AZ16" s="6" t="s">
        <v>97</v>
      </c>
      <c r="BA16" s="6"/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4"/>
      <c r="BM16" s="4"/>
      <c r="BN16" s="4"/>
      <c r="BO16" s="4"/>
      <c r="BP16" s="4"/>
      <c r="BQ16" s="4"/>
      <c r="BR16" s="4"/>
      <c r="BS16" s="4"/>
      <c r="BT16" s="3"/>
      <c r="BU16" s="4"/>
      <c r="BV16" s="4" t="s">
        <v>94</v>
      </c>
      <c r="BW16" s="4" t="s">
        <v>94</v>
      </c>
      <c r="BX16" s="3">
        <v>0</v>
      </c>
      <c r="BY16" s="6"/>
      <c r="BZ16" s="4"/>
      <c r="CA16" s="4"/>
      <c r="CB16" s="4" t="s">
        <v>147</v>
      </c>
      <c r="CC16" s="4" t="s">
        <v>143</v>
      </c>
      <c r="CD16" s="4" t="s">
        <v>100</v>
      </c>
      <c r="CE16" s="4" t="s">
        <v>101</v>
      </c>
      <c r="CF16" s="4" t="s">
        <v>100</v>
      </c>
    </row>
    <row r="17" spans="1:84" ht="32.25" thickBot="1" x14ac:dyDescent="0.3">
      <c r="A17" s="3">
        <v>2797839</v>
      </c>
      <c r="B17" s="3">
        <v>152</v>
      </c>
      <c r="C17" s="4" t="s">
        <v>84</v>
      </c>
      <c r="D17" s="5">
        <v>45798</v>
      </c>
      <c r="E17" s="6" t="s">
        <v>137</v>
      </c>
      <c r="F17" s="4"/>
      <c r="G17" s="4" t="s">
        <v>148</v>
      </c>
      <c r="H17" s="4" t="s">
        <v>87</v>
      </c>
      <c r="I17" s="4" t="s">
        <v>144</v>
      </c>
      <c r="J17" s="4" t="s">
        <v>89</v>
      </c>
      <c r="K17" s="4"/>
      <c r="L17" s="3">
        <v>106</v>
      </c>
      <c r="M17" s="3">
        <v>-10</v>
      </c>
      <c r="N17" s="3">
        <v>-10</v>
      </c>
      <c r="O17" s="3">
        <v>-10</v>
      </c>
      <c r="P17" s="7">
        <v>9247.5</v>
      </c>
      <c r="Q17" s="3">
        <v>0</v>
      </c>
      <c r="R17" s="3">
        <v>114</v>
      </c>
      <c r="S17" s="3">
        <v>4</v>
      </c>
      <c r="T17" s="4"/>
      <c r="U17" s="3">
        <v>0</v>
      </c>
      <c r="V17" s="4" t="s">
        <v>91</v>
      </c>
      <c r="W17" s="4" t="s">
        <v>139</v>
      </c>
      <c r="X17" s="3">
        <v>0</v>
      </c>
      <c r="Y17" s="4"/>
      <c r="Z17" s="4"/>
      <c r="AA17" s="6"/>
      <c r="AB17" s="7">
        <v>-92475</v>
      </c>
      <c r="AC17" s="7">
        <v>-92475</v>
      </c>
      <c r="AD17" s="4"/>
      <c r="AE17" s="4" t="s">
        <v>94</v>
      </c>
      <c r="AF17" s="4"/>
      <c r="AG17" s="4"/>
      <c r="AH17" s="4" t="s">
        <v>89</v>
      </c>
      <c r="AI17" s="5">
        <v>45798</v>
      </c>
      <c r="AJ17" s="4"/>
      <c r="AK17" s="3">
        <v>0</v>
      </c>
      <c r="AL17" s="3">
        <v>0</v>
      </c>
      <c r="AM17" s="3">
        <v>0</v>
      </c>
      <c r="AN17" s="6" t="s">
        <v>149</v>
      </c>
      <c r="AO17" s="3">
        <v>10000</v>
      </c>
      <c r="AP17" s="5">
        <v>45798</v>
      </c>
      <c r="AQ17" s="6" t="s">
        <v>137</v>
      </c>
      <c r="AR17" s="4" t="s">
        <v>141</v>
      </c>
      <c r="AS17" s="3">
        <v>10000</v>
      </c>
      <c r="AT17" s="4" t="s">
        <v>94</v>
      </c>
      <c r="AU17" s="4"/>
      <c r="AV17" s="4" t="s">
        <v>94</v>
      </c>
      <c r="AW17" s="4" t="s">
        <v>94</v>
      </c>
      <c r="AX17" s="4" t="s">
        <v>96</v>
      </c>
      <c r="AY17" s="5">
        <v>45798</v>
      </c>
      <c r="AZ17" s="6" t="s">
        <v>97</v>
      </c>
      <c r="BA17" s="6"/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4"/>
      <c r="BM17" s="4"/>
      <c r="BN17" s="4"/>
      <c r="BO17" s="4"/>
      <c r="BP17" s="4"/>
      <c r="BQ17" s="4"/>
      <c r="BR17" s="4"/>
      <c r="BS17" s="4"/>
      <c r="BT17" s="3"/>
      <c r="BU17" s="4"/>
      <c r="BV17" s="4" t="s">
        <v>94</v>
      </c>
      <c r="BW17" s="4" t="s">
        <v>94</v>
      </c>
      <c r="BX17" s="3">
        <v>0</v>
      </c>
      <c r="BY17" s="6"/>
      <c r="BZ17" s="4"/>
      <c r="CA17" s="4"/>
      <c r="CB17" s="4" t="s">
        <v>150</v>
      </c>
      <c r="CC17" s="4" t="s">
        <v>143</v>
      </c>
      <c r="CD17" s="4" t="s">
        <v>100</v>
      </c>
      <c r="CE17" s="4" t="s">
        <v>101</v>
      </c>
      <c r="CF17" s="4" t="s">
        <v>100</v>
      </c>
    </row>
    <row r="18" spans="1:84" ht="32.25" thickBot="1" x14ac:dyDescent="0.3">
      <c r="A18" s="3">
        <v>2797840</v>
      </c>
      <c r="B18" s="3">
        <v>153</v>
      </c>
      <c r="C18" s="4" t="s">
        <v>84</v>
      </c>
      <c r="D18" s="5">
        <v>45798</v>
      </c>
      <c r="E18" s="6" t="s">
        <v>137</v>
      </c>
      <c r="F18" s="4"/>
      <c r="G18" s="4" t="s">
        <v>148</v>
      </c>
      <c r="H18" s="4" t="s">
        <v>87</v>
      </c>
      <c r="I18" s="4" t="s">
        <v>151</v>
      </c>
      <c r="J18" s="4" t="s">
        <v>89</v>
      </c>
      <c r="K18" s="4"/>
      <c r="L18" s="3">
        <v>107</v>
      </c>
      <c r="M18" s="3">
        <v>2</v>
      </c>
      <c r="N18" s="3">
        <v>2</v>
      </c>
      <c r="O18" s="3">
        <v>2</v>
      </c>
      <c r="P18" s="7">
        <v>40000</v>
      </c>
      <c r="Q18" s="3">
        <v>0</v>
      </c>
      <c r="R18" s="3">
        <v>114</v>
      </c>
      <c r="S18" s="3">
        <v>4</v>
      </c>
      <c r="T18" s="4"/>
      <c r="U18" s="3">
        <v>0</v>
      </c>
      <c r="V18" s="4" t="s">
        <v>91</v>
      </c>
      <c r="W18" s="4" t="s">
        <v>139</v>
      </c>
      <c r="X18" s="3">
        <v>0</v>
      </c>
      <c r="Y18" s="4"/>
      <c r="Z18" s="4"/>
      <c r="AA18" s="6"/>
      <c r="AB18" s="7">
        <v>80000</v>
      </c>
      <c r="AC18" s="7">
        <v>80000</v>
      </c>
      <c r="AD18" s="4"/>
      <c r="AE18" s="4" t="s">
        <v>94</v>
      </c>
      <c r="AF18" s="4"/>
      <c r="AG18" s="4"/>
      <c r="AH18" s="4" t="s">
        <v>89</v>
      </c>
      <c r="AI18" s="5">
        <v>45798</v>
      </c>
      <c r="AJ18" s="4"/>
      <c r="AK18" s="3">
        <v>0</v>
      </c>
      <c r="AL18" s="3">
        <v>0</v>
      </c>
      <c r="AM18" s="3">
        <v>0</v>
      </c>
      <c r="AN18" s="6" t="s">
        <v>149</v>
      </c>
      <c r="AO18" s="3">
        <v>10000</v>
      </c>
      <c r="AP18" s="5">
        <v>45798</v>
      </c>
      <c r="AQ18" s="6" t="s">
        <v>137</v>
      </c>
      <c r="AR18" s="4" t="s">
        <v>141</v>
      </c>
      <c r="AS18" s="3">
        <v>10000</v>
      </c>
      <c r="AT18" s="4" t="s">
        <v>94</v>
      </c>
      <c r="AU18" s="4"/>
      <c r="AV18" s="4" t="s">
        <v>94</v>
      </c>
      <c r="AW18" s="4" t="s">
        <v>94</v>
      </c>
      <c r="AX18" s="4" t="s">
        <v>96</v>
      </c>
      <c r="AY18" s="5">
        <v>45798</v>
      </c>
      <c r="AZ18" s="6" t="s">
        <v>97</v>
      </c>
      <c r="BA18" s="6"/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4"/>
      <c r="BM18" s="4"/>
      <c r="BN18" s="4"/>
      <c r="BO18" s="4"/>
      <c r="BP18" s="4"/>
      <c r="BQ18" s="4"/>
      <c r="BR18" s="4"/>
      <c r="BS18" s="4"/>
      <c r="BT18" s="3"/>
      <c r="BU18" s="4"/>
      <c r="BV18" s="4" t="s">
        <v>94</v>
      </c>
      <c r="BW18" s="4" t="s">
        <v>94</v>
      </c>
      <c r="BX18" s="3">
        <v>0</v>
      </c>
      <c r="BY18" s="6"/>
      <c r="BZ18" s="4"/>
      <c r="CA18" s="4"/>
      <c r="CB18" s="4" t="s">
        <v>152</v>
      </c>
      <c r="CC18" s="4" t="s">
        <v>143</v>
      </c>
      <c r="CD18" s="4" t="s">
        <v>100</v>
      </c>
      <c r="CE18" s="4" t="s">
        <v>101</v>
      </c>
      <c r="CF18" s="4" t="s">
        <v>100</v>
      </c>
    </row>
    <row r="19" spans="1:84" ht="32.25" thickBot="1" x14ac:dyDescent="0.3">
      <c r="A19" s="3">
        <v>2797841</v>
      </c>
      <c r="B19" s="3">
        <v>154</v>
      </c>
      <c r="C19" s="4" t="s">
        <v>84</v>
      </c>
      <c r="D19" s="5">
        <v>45798</v>
      </c>
      <c r="E19" s="6" t="s">
        <v>137</v>
      </c>
      <c r="F19" s="4"/>
      <c r="G19" s="4" t="s">
        <v>148</v>
      </c>
      <c r="H19" s="4" t="s">
        <v>87</v>
      </c>
      <c r="I19" s="4" t="s">
        <v>151</v>
      </c>
      <c r="J19" s="4" t="s">
        <v>89</v>
      </c>
      <c r="K19" s="4"/>
      <c r="L19" s="3">
        <v>108</v>
      </c>
      <c r="M19" s="3">
        <v>5</v>
      </c>
      <c r="N19" s="3">
        <v>5</v>
      </c>
      <c r="O19" s="3">
        <v>5</v>
      </c>
      <c r="P19" s="3">
        <v>95</v>
      </c>
      <c r="Q19" s="3">
        <v>0</v>
      </c>
      <c r="R19" s="3">
        <v>114</v>
      </c>
      <c r="S19" s="3">
        <v>4</v>
      </c>
      <c r="T19" s="4"/>
      <c r="U19" s="3">
        <v>0</v>
      </c>
      <c r="V19" s="4" t="s">
        <v>91</v>
      </c>
      <c r="W19" s="4" t="s">
        <v>139</v>
      </c>
      <c r="X19" s="3">
        <v>0</v>
      </c>
      <c r="Y19" s="4"/>
      <c r="Z19" s="4"/>
      <c r="AA19" s="6"/>
      <c r="AB19" s="3">
        <v>475</v>
      </c>
      <c r="AC19" s="3">
        <v>475</v>
      </c>
      <c r="AD19" s="4"/>
      <c r="AE19" s="4" t="s">
        <v>94</v>
      </c>
      <c r="AF19" s="4"/>
      <c r="AG19" s="4"/>
      <c r="AH19" s="4" t="s">
        <v>89</v>
      </c>
      <c r="AI19" s="5">
        <v>45798</v>
      </c>
      <c r="AJ19" s="4"/>
      <c r="AK19" s="3">
        <v>0</v>
      </c>
      <c r="AL19" s="3">
        <v>0</v>
      </c>
      <c r="AM19" s="3">
        <v>0</v>
      </c>
      <c r="AN19" s="6" t="s">
        <v>149</v>
      </c>
      <c r="AO19" s="3">
        <v>10000</v>
      </c>
      <c r="AP19" s="5">
        <v>45798</v>
      </c>
      <c r="AQ19" s="6" t="s">
        <v>137</v>
      </c>
      <c r="AR19" s="4" t="s">
        <v>141</v>
      </c>
      <c r="AS19" s="3">
        <v>10000</v>
      </c>
      <c r="AT19" s="4" t="s">
        <v>94</v>
      </c>
      <c r="AU19" s="4"/>
      <c r="AV19" s="4" t="s">
        <v>94</v>
      </c>
      <c r="AW19" s="4" t="s">
        <v>94</v>
      </c>
      <c r="AX19" s="4" t="s">
        <v>96</v>
      </c>
      <c r="AY19" s="5">
        <v>45798</v>
      </c>
      <c r="AZ19" s="6" t="s">
        <v>97</v>
      </c>
      <c r="BA19" s="6"/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4"/>
      <c r="BM19" s="4"/>
      <c r="BN19" s="4"/>
      <c r="BO19" s="4"/>
      <c r="BP19" s="4"/>
      <c r="BQ19" s="4"/>
      <c r="BR19" s="4"/>
      <c r="BS19" s="4"/>
      <c r="BT19" s="3"/>
      <c r="BU19" s="4"/>
      <c r="BV19" s="4" t="s">
        <v>94</v>
      </c>
      <c r="BW19" s="4" t="s">
        <v>94</v>
      </c>
      <c r="BX19" s="3">
        <v>0</v>
      </c>
      <c r="BY19" s="6"/>
      <c r="BZ19" s="4"/>
      <c r="CA19" s="4"/>
      <c r="CB19" s="4" t="s">
        <v>153</v>
      </c>
      <c r="CC19" s="4" t="s">
        <v>143</v>
      </c>
      <c r="CD19" s="4" t="s">
        <v>100</v>
      </c>
      <c r="CE19" s="4" t="s">
        <v>101</v>
      </c>
      <c r="CF19" s="4" t="s">
        <v>100</v>
      </c>
    </row>
    <row r="20" spans="1:84" ht="32.25" thickBot="1" x14ac:dyDescent="0.3">
      <c r="A20" s="3">
        <v>2797842</v>
      </c>
      <c r="B20" s="3">
        <v>155</v>
      </c>
      <c r="C20" s="4" t="s">
        <v>84</v>
      </c>
      <c r="D20" s="5">
        <v>45798</v>
      </c>
      <c r="E20" s="6" t="s">
        <v>137</v>
      </c>
      <c r="F20" s="4"/>
      <c r="G20" s="4" t="s">
        <v>148</v>
      </c>
      <c r="H20" s="4" t="s">
        <v>87</v>
      </c>
      <c r="I20" s="4" t="s">
        <v>151</v>
      </c>
      <c r="J20" s="4" t="s">
        <v>89</v>
      </c>
      <c r="K20" s="4"/>
      <c r="L20" s="3">
        <v>109</v>
      </c>
      <c r="M20" s="3">
        <v>3</v>
      </c>
      <c r="N20" s="3">
        <v>3</v>
      </c>
      <c r="O20" s="3">
        <v>3</v>
      </c>
      <c r="P20" s="7">
        <v>4000</v>
      </c>
      <c r="Q20" s="3">
        <v>0</v>
      </c>
      <c r="R20" s="3">
        <v>114</v>
      </c>
      <c r="S20" s="3">
        <v>4</v>
      </c>
      <c r="T20" s="4"/>
      <c r="U20" s="3">
        <v>0</v>
      </c>
      <c r="V20" s="4" t="s">
        <v>91</v>
      </c>
      <c r="W20" s="4" t="s">
        <v>139</v>
      </c>
      <c r="X20" s="3">
        <v>0</v>
      </c>
      <c r="Y20" s="4"/>
      <c r="Z20" s="4"/>
      <c r="AA20" s="6"/>
      <c r="AB20" s="7">
        <v>12000</v>
      </c>
      <c r="AC20" s="7">
        <v>12000</v>
      </c>
      <c r="AD20" s="4"/>
      <c r="AE20" s="4" t="s">
        <v>94</v>
      </c>
      <c r="AF20" s="4"/>
      <c r="AG20" s="4"/>
      <c r="AH20" s="4" t="s">
        <v>89</v>
      </c>
      <c r="AI20" s="5">
        <v>45798</v>
      </c>
      <c r="AJ20" s="4"/>
      <c r="AK20" s="3">
        <v>0</v>
      </c>
      <c r="AL20" s="3">
        <v>0</v>
      </c>
      <c r="AM20" s="3">
        <v>0</v>
      </c>
      <c r="AN20" s="6" t="s">
        <v>149</v>
      </c>
      <c r="AO20" s="3">
        <v>10000</v>
      </c>
      <c r="AP20" s="5">
        <v>45798</v>
      </c>
      <c r="AQ20" s="6" t="s">
        <v>137</v>
      </c>
      <c r="AR20" s="4" t="s">
        <v>141</v>
      </c>
      <c r="AS20" s="3">
        <v>10000</v>
      </c>
      <c r="AT20" s="4" t="s">
        <v>94</v>
      </c>
      <c r="AU20" s="4"/>
      <c r="AV20" s="4" t="s">
        <v>94</v>
      </c>
      <c r="AW20" s="4" t="s">
        <v>94</v>
      </c>
      <c r="AX20" s="4" t="s">
        <v>96</v>
      </c>
      <c r="AY20" s="5">
        <v>45798</v>
      </c>
      <c r="AZ20" s="6" t="s">
        <v>97</v>
      </c>
      <c r="BA20" s="6"/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4"/>
      <c r="BM20" s="4"/>
      <c r="BN20" s="4"/>
      <c r="BO20" s="4"/>
      <c r="BP20" s="4"/>
      <c r="BQ20" s="4"/>
      <c r="BR20" s="4"/>
      <c r="BS20" s="4"/>
      <c r="BT20" s="3"/>
      <c r="BU20" s="4"/>
      <c r="BV20" s="4" t="s">
        <v>94</v>
      </c>
      <c r="BW20" s="4" t="s">
        <v>94</v>
      </c>
      <c r="BX20" s="3">
        <v>0</v>
      </c>
      <c r="BY20" s="6"/>
      <c r="BZ20" s="4"/>
      <c r="CA20" s="4"/>
      <c r="CB20" s="4" t="s">
        <v>154</v>
      </c>
      <c r="CC20" s="4" t="s">
        <v>143</v>
      </c>
      <c r="CD20" s="4" t="s">
        <v>100</v>
      </c>
      <c r="CE20" s="4" t="s">
        <v>101</v>
      </c>
      <c r="CF20" s="4" t="s">
        <v>100</v>
      </c>
    </row>
    <row r="21" spans="1:84" ht="48" thickBot="1" x14ac:dyDescent="0.3">
      <c r="A21" s="3">
        <v>2797843</v>
      </c>
      <c r="B21" s="3">
        <v>159</v>
      </c>
      <c r="C21" s="4" t="s">
        <v>84</v>
      </c>
      <c r="D21" s="5">
        <v>45798</v>
      </c>
      <c r="E21" s="6" t="s">
        <v>137</v>
      </c>
      <c r="F21" s="4"/>
      <c r="G21" s="4" t="s">
        <v>155</v>
      </c>
      <c r="H21" s="4" t="s">
        <v>87</v>
      </c>
      <c r="I21" s="4" t="s">
        <v>88</v>
      </c>
      <c r="J21" s="4" t="s">
        <v>89</v>
      </c>
      <c r="K21" s="4"/>
      <c r="L21" s="3">
        <v>113</v>
      </c>
      <c r="M21" s="3">
        <v>-297</v>
      </c>
      <c r="N21" s="3">
        <v>-297</v>
      </c>
      <c r="O21" s="3">
        <v>-297</v>
      </c>
      <c r="P21" s="7">
        <v>4000</v>
      </c>
      <c r="Q21" s="3">
        <v>0</v>
      </c>
      <c r="R21" s="3">
        <v>115</v>
      </c>
      <c r="S21" s="3">
        <v>0</v>
      </c>
      <c r="T21" s="4"/>
      <c r="U21" s="3">
        <v>0</v>
      </c>
      <c r="V21" s="4" t="s">
        <v>91</v>
      </c>
      <c r="W21" s="4" t="s">
        <v>139</v>
      </c>
      <c r="X21" s="3">
        <v>0</v>
      </c>
      <c r="Y21" s="4"/>
      <c r="Z21" s="4"/>
      <c r="AA21" s="6"/>
      <c r="AB21" s="7">
        <v>-1188000</v>
      </c>
      <c r="AC21" s="7">
        <v>-1188000</v>
      </c>
      <c r="AD21" s="4"/>
      <c r="AE21" s="4" t="s">
        <v>94</v>
      </c>
      <c r="AF21" s="4"/>
      <c r="AG21" s="4"/>
      <c r="AH21" s="4" t="s">
        <v>89</v>
      </c>
      <c r="AI21" s="5">
        <v>45798</v>
      </c>
      <c r="AJ21" s="4"/>
      <c r="AK21" s="3">
        <v>0</v>
      </c>
      <c r="AL21" s="3">
        <v>0</v>
      </c>
      <c r="AM21" s="3">
        <v>0</v>
      </c>
      <c r="AN21" s="6" t="s">
        <v>140</v>
      </c>
      <c r="AO21" s="3">
        <v>10000</v>
      </c>
      <c r="AP21" s="5">
        <v>45798</v>
      </c>
      <c r="AQ21" s="6" t="s">
        <v>137</v>
      </c>
      <c r="AR21" s="4" t="s">
        <v>156</v>
      </c>
      <c r="AS21" s="3">
        <v>10000</v>
      </c>
      <c r="AT21" s="4" t="s">
        <v>94</v>
      </c>
      <c r="AU21" s="4"/>
      <c r="AV21" s="4" t="s">
        <v>94</v>
      </c>
      <c r="AW21" s="4" t="s">
        <v>94</v>
      </c>
      <c r="AX21" s="4" t="s">
        <v>96</v>
      </c>
      <c r="AY21" s="5">
        <v>45798</v>
      </c>
      <c r="AZ21" s="6" t="s">
        <v>97</v>
      </c>
      <c r="BA21" s="6"/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4"/>
      <c r="BM21" s="4"/>
      <c r="BN21" s="4"/>
      <c r="BO21" s="4"/>
      <c r="BP21" s="4"/>
      <c r="BQ21" s="4"/>
      <c r="BR21" s="4"/>
      <c r="BS21" s="4"/>
      <c r="BT21" s="3"/>
      <c r="BU21" s="4"/>
      <c r="BV21" s="4" t="s">
        <v>94</v>
      </c>
      <c r="BW21" s="4" t="s">
        <v>94</v>
      </c>
      <c r="BX21" s="3">
        <v>0</v>
      </c>
      <c r="BY21" s="6"/>
      <c r="BZ21" s="4"/>
      <c r="CA21" s="4"/>
      <c r="CB21" s="4" t="s">
        <v>157</v>
      </c>
      <c r="CC21" s="4" t="s">
        <v>158</v>
      </c>
      <c r="CD21" s="4" t="s">
        <v>100</v>
      </c>
      <c r="CE21" s="4" t="s">
        <v>101</v>
      </c>
      <c r="CF21" s="4" t="s">
        <v>100</v>
      </c>
    </row>
    <row r="22" spans="1:84" ht="48" thickBot="1" x14ac:dyDescent="0.3">
      <c r="A22" s="3">
        <v>2797844</v>
      </c>
      <c r="B22" s="3">
        <v>160</v>
      </c>
      <c r="C22" s="4" t="s">
        <v>84</v>
      </c>
      <c r="D22" s="5">
        <v>45798</v>
      </c>
      <c r="E22" s="6" t="s">
        <v>137</v>
      </c>
      <c r="F22" s="4"/>
      <c r="G22" s="4" t="s">
        <v>155</v>
      </c>
      <c r="H22" s="4" t="s">
        <v>87</v>
      </c>
      <c r="I22" s="4" t="s">
        <v>144</v>
      </c>
      <c r="J22" s="4" t="s">
        <v>89</v>
      </c>
      <c r="K22" s="4"/>
      <c r="L22" s="3">
        <v>114</v>
      </c>
      <c r="M22" s="3">
        <v>97</v>
      </c>
      <c r="N22" s="3">
        <v>97</v>
      </c>
      <c r="O22" s="3">
        <v>97</v>
      </c>
      <c r="P22" s="7">
        <v>4000</v>
      </c>
      <c r="Q22" s="3">
        <v>0</v>
      </c>
      <c r="R22" s="3">
        <v>115</v>
      </c>
      <c r="S22" s="3">
        <v>0</v>
      </c>
      <c r="T22" s="4"/>
      <c r="U22" s="3">
        <v>0</v>
      </c>
      <c r="V22" s="4" t="s">
        <v>91</v>
      </c>
      <c r="W22" s="4" t="s">
        <v>139</v>
      </c>
      <c r="X22" s="3">
        <v>0</v>
      </c>
      <c r="Y22" s="4"/>
      <c r="Z22" s="4"/>
      <c r="AA22" s="6"/>
      <c r="AB22" s="7">
        <v>388000</v>
      </c>
      <c r="AC22" s="7">
        <v>388000</v>
      </c>
      <c r="AD22" s="4"/>
      <c r="AE22" s="4" t="s">
        <v>94</v>
      </c>
      <c r="AF22" s="4"/>
      <c r="AG22" s="4"/>
      <c r="AH22" s="4" t="s">
        <v>89</v>
      </c>
      <c r="AI22" s="5">
        <v>45798</v>
      </c>
      <c r="AJ22" s="4"/>
      <c r="AK22" s="3">
        <v>0</v>
      </c>
      <c r="AL22" s="3">
        <v>0</v>
      </c>
      <c r="AM22" s="3">
        <v>0</v>
      </c>
      <c r="AN22" s="6" t="s">
        <v>140</v>
      </c>
      <c r="AO22" s="3">
        <v>10000</v>
      </c>
      <c r="AP22" s="5">
        <v>45798</v>
      </c>
      <c r="AQ22" s="6" t="s">
        <v>137</v>
      </c>
      <c r="AR22" s="4" t="s">
        <v>156</v>
      </c>
      <c r="AS22" s="3">
        <v>10000</v>
      </c>
      <c r="AT22" s="4" t="s">
        <v>94</v>
      </c>
      <c r="AU22" s="4"/>
      <c r="AV22" s="4" t="s">
        <v>94</v>
      </c>
      <c r="AW22" s="4" t="s">
        <v>94</v>
      </c>
      <c r="AX22" s="4" t="s">
        <v>96</v>
      </c>
      <c r="AY22" s="5">
        <v>45798</v>
      </c>
      <c r="AZ22" s="6" t="s">
        <v>97</v>
      </c>
      <c r="BA22" s="6"/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4"/>
      <c r="BM22" s="4"/>
      <c r="BN22" s="4"/>
      <c r="BO22" s="4"/>
      <c r="BP22" s="4"/>
      <c r="BQ22" s="4"/>
      <c r="BR22" s="4"/>
      <c r="BS22" s="4"/>
      <c r="BT22" s="3"/>
      <c r="BU22" s="4"/>
      <c r="BV22" s="4" t="s">
        <v>94</v>
      </c>
      <c r="BW22" s="4" t="s">
        <v>94</v>
      </c>
      <c r="BX22" s="3">
        <v>0</v>
      </c>
      <c r="BY22" s="6"/>
      <c r="BZ22" s="4"/>
      <c r="CA22" s="4"/>
      <c r="CB22" s="4" t="s">
        <v>159</v>
      </c>
      <c r="CC22" s="4" t="s">
        <v>158</v>
      </c>
      <c r="CD22" s="4" t="s">
        <v>100</v>
      </c>
      <c r="CE22" s="4" t="s">
        <v>101</v>
      </c>
      <c r="CF22" s="4" t="s">
        <v>100</v>
      </c>
    </row>
    <row r="23" spans="1:84" ht="48" thickBot="1" x14ac:dyDescent="0.3">
      <c r="A23" s="3">
        <v>2797845</v>
      </c>
      <c r="B23" s="3">
        <v>161</v>
      </c>
      <c r="C23" s="4" t="s">
        <v>84</v>
      </c>
      <c r="D23" s="5">
        <v>45798</v>
      </c>
      <c r="E23" s="6" t="s">
        <v>137</v>
      </c>
      <c r="F23" s="4"/>
      <c r="G23" s="4" t="s">
        <v>155</v>
      </c>
      <c r="H23" s="4" t="s">
        <v>87</v>
      </c>
      <c r="I23" s="4" t="s">
        <v>144</v>
      </c>
      <c r="J23" s="4" t="s">
        <v>89</v>
      </c>
      <c r="K23" s="4"/>
      <c r="L23" s="3">
        <v>115</v>
      </c>
      <c r="M23" s="3">
        <v>200</v>
      </c>
      <c r="N23" s="3">
        <v>200</v>
      </c>
      <c r="O23" s="3">
        <v>200</v>
      </c>
      <c r="P23" s="7">
        <v>4000</v>
      </c>
      <c r="Q23" s="3">
        <v>0</v>
      </c>
      <c r="R23" s="3">
        <v>115</v>
      </c>
      <c r="S23" s="3">
        <v>0</v>
      </c>
      <c r="T23" s="4"/>
      <c r="U23" s="3">
        <v>0</v>
      </c>
      <c r="V23" s="4" t="s">
        <v>91</v>
      </c>
      <c r="W23" s="4" t="s">
        <v>139</v>
      </c>
      <c r="X23" s="3">
        <v>0</v>
      </c>
      <c r="Y23" s="4"/>
      <c r="Z23" s="4"/>
      <c r="AA23" s="6"/>
      <c r="AB23" s="7">
        <v>800000</v>
      </c>
      <c r="AC23" s="7">
        <v>800000</v>
      </c>
      <c r="AD23" s="4"/>
      <c r="AE23" s="4" t="s">
        <v>94</v>
      </c>
      <c r="AF23" s="4"/>
      <c r="AG23" s="4"/>
      <c r="AH23" s="4" t="s">
        <v>89</v>
      </c>
      <c r="AI23" s="5">
        <v>45798</v>
      </c>
      <c r="AJ23" s="4"/>
      <c r="AK23" s="3">
        <v>0</v>
      </c>
      <c r="AL23" s="3">
        <v>0</v>
      </c>
      <c r="AM23" s="3">
        <v>0</v>
      </c>
      <c r="AN23" s="6" t="s">
        <v>140</v>
      </c>
      <c r="AO23" s="3">
        <v>10000</v>
      </c>
      <c r="AP23" s="5">
        <v>45798</v>
      </c>
      <c r="AQ23" s="6" t="s">
        <v>137</v>
      </c>
      <c r="AR23" s="4" t="s">
        <v>156</v>
      </c>
      <c r="AS23" s="3">
        <v>10000</v>
      </c>
      <c r="AT23" s="4" t="s">
        <v>94</v>
      </c>
      <c r="AU23" s="4"/>
      <c r="AV23" s="4" t="s">
        <v>94</v>
      </c>
      <c r="AW23" s="4" t="s">
        <v>94</v>
      </c>
      <c r="AX23" s="4" t="s">
        <v>96</v>
      </c>
      <c r="AY23" s="5">
        <v>45798</v>
      </c>
      <c r="AZ23" s="6" t="s">
        <v>97</v>
      </c>
      <c r="BA23" s="6"/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4"/>
      <c r="BM23" s="4"/>
      <c r="BN23" s="4"/>
      <c r="BO23" s="4"/>
      <c r="BP23" s="4"/>
      <c r="BQ23" s="4"/>
      <c r="BR23" s="4"/>
      <c r="BS23" s="4"/>
      <c r="BT23" s="3"/>
      <c r="BU23" s="4"/>
      <c r="BV23" s="4" t="s">
        <v>94</v>
      </c>
      <c r="BW23" s="4" t="s">
        <v>94</v>
      </c>
      <c r="BX23" s="3">
        <v>0</v>
      </c>
      <c r="BY23" s="6"/>
      <c r="BZ23" s="4"/>
      <c r="CA23" s="4"/>
      <c r="CB23" s="4" t="s">
        <v>160</v>
      </c>
      <c r="CC23" s="4" t="s">
        <v>158</v>
      </c>
      <c r="CD23" s="4" t="s">
        <v>100</v>
      </c>
      <c r="CE23" s="4" t="s">
        <v>101</v>
      </c>
      <c r="CF23" s="4" t="s">
        <v>100</v>
      </c>
    </row>
    <row r="24" spans="1:84" ht="32.25" thickBot="1" x14ac:dyDescent="0.3">
      <c r="A24" s="3">
        <v>2797846</v>
      </c>
      <c r="B24" s="3">
        <v>162</v>
      </c>
      <c r="C24" s="4" t="s">
        <v>84</v>
      </c>
      <c r="D24" s="5">
        <v>45798</v>
      </c>
      <c r="E24" s="6" t="s">
        <v>137</v>
      </c>
      <c r="F24" s="4"/>
      <c r="G24" s="4" t="s">
        <v>161</v>
      </c>
      <c r="H24" s="4" t="s">
        <v>87</v>
      </c>
      <c r="I24" s="4" t="s">
        <v>144</v>
      </c>
      <c r="J24" s="4" t="s">
        <v>89</v>
      </c>
      <c r="K24" s="4"/>
      <c r="L24" s="3">
        <v>116</v>
      </c>
      <c r="M24" s="3">
        <v>-297</v>
      </c>
      <c r="N24" s="3">
        <v>-297</v>
      </c>
      <c r="O24" s="3">
        <v>-297</v>
      </c>
      <c r="P24" s="7">
        <v>4000</v>
      </c>
      <c r="Q24" s="3">
        <v>0</v>
      </c>
      <c r="R24" s="3">
        <v>116</v>
      </c>
      <c r="S24" s="3">
        <v>1</v>
      </c>
      <c r="T24" s="4"/>
      <c r="U24" s="3">
        <v>0</v>
      </c>
      <c r="V24" s="4" t="s">
        <v>91</v>
      </c>
      <c r="W24" s="4" t="s">
        <v>139</v>
      </c>
      <c r="X24" s="3">
        <v>0</v>
      </c>
      <c r="Y24" s="4"/>
      <c r="Z24" s="4"/>
      <c r="AA24" s="6"/>
      <c r="AB24" s="7">
        <v>-1188000</v>
      </c>
      <c r="AC24" s="7">
        <v>-1188000</v>
      </c>
      <c r="AD24" s="4"/>
      <c r="AE24" s="4" t="s">
        <v>94</v>
      </c>
      <c r="AF24" s="4"/>
      <c r="AG24" s="4"/>
      <c r="AH24" s="4" t="s">
        <v>89</v>
      </c>
      <c r="AI24" s="5">
        <v>45798</v>
      </c>
      <c r="AJ24" s="4"/>
      <c r="AK24" s="3">
        <v>0</v>
      </c>
      <c r="AL24" s="3">
        <v>0</v>
      </c>
      <c r="AM24" s="3">
        <v>0</v>
      </c>
      <c r="AN24" s="6" t="s">
        <v>149</v>
      </c>
      <c r="AO24" s="3">
        <v>10000</v>
      </c>
      <c r="AP24" s="5">
        <v>45798</v>
      </c>
      <c r="AQ24" s="6" t="s">
        <v>137</v>
      </c>
      <c r="AR24" s="4" t="s">
        <v>156</v>
      </c>
      <c r="AS24" s="3">
        <v>10000</v>
      </c>
      <c r="AT24" s="4" t="s">
        <v>94</v>
      </c>
      <c r="AU24" s="4"/>
      <c r="AV24" s="4" t="s">
        <v>94</v>
      </c>
      <c r="AW24" s="4" t="s">
        <v>94</v>
      </c>
      <c r="AX24" s="4" t="s">
        <v>96</v>
      </c>
      <c r="AY24" s="5">
        <v>45798</v>
      </c>
      <c r="AZ24" s="6" t="s">
        <v>97</v>
      </c>
      <c r="BA24" s="6"/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4"/>
      <c r="BM24" s="4"/>
      <c r="BN24" s="4"/>
      <c r="BO24" s="4"/>
      <c r="BP24" s="4"/>
      <c r="BQ24" s="4"/>
      <c r="BR24" s="4"/>
      <c r="BS24" s="4"/>
      <c r="BT24" s="3"/>
      <c r="BU24" s="4"/>
      <c r="BV24" s="4" t="s">
        <v>94</v>
      </c>
      <c r="BW24" s="4" t="s">
        <v>94</v>
      </c>
      <c r="BX24" s="3">
        <v>0</v>
      </c>
      <c r="BY24" s="6"/>
      <c r="BZ24" s="4"/>
      <c r="CA24" s="4"/>
      <c r="CB24" s="4" t="s">
        <v>162</v>
      </c>
      <c r="CC24" s="4" t="s">
        <v>158</v>
      </c>
      <c r="CD24" s="4" t="s">
        <v>100</v>
      </c>
      <c r="CE24" s="4" t="s">
        <v>101</v>
      </c>
      <c r="CF24" s="4" t="s">
        <v>100</v>
      </c>
    </row>
    <row r="25" spans="1:84" ht="32.25" thickBot="1" x14ac:dyDescent="0.3">
      <c r="A25" s="3">
        <v>2797847</v>
      </c>
      <c r="B25" s="3">
        <v>163</v>
      </c>
      <c r="C25" s="4" t="s">
        <v>84</v>
      </c>
      <c r="D25" s="5">
        <v>45798</v>
      </c>
      <c r="E25" s="6" t="s">
        <v>137</v>
      </c>
      <c r="F25" s="4"/>
      <c r="G25" s="4" t="s">
        <v>161</v>
      </c>
      <c r="H25" s="4" t="s">
        <v>87</v>
      </c>
      <c r="I25" s="4" t="s">
        <v>151</v>
      </c>
      <c r="J25" s="4" t="s">
        <v>89</v>
      </c>
      <c r="K25" s="4"/>
      <c r="L25" s="3">
        <v>117</v>
      </c>
      <c r="M25" s="3">
        <v>97</v>
      </c>
      <c r="N25" s="3">
        <v>97</v>
      </c>
      <c r="O25" s="3">
        <v>97</v>
      </c>
      <c r="P25" s="7">
        <v>4000</v>
      </c>
      <c r="Q25" s="3">
        <v>0</v>
      </c>
      <c r="R25" s="3">
        <v>116</v>
      </c>
      <c r="S25" s="3">
        <v>1</v>
      </c>
      <c r="T25" s="4"/>
      <c r="U25" s="3">
        <v>0</v>
      </c>
      <c r="V25" s="4" t="s">
        <v>91</v>
      </c>
      <c r="W25" s="4" t="s">
        <v>139</v>
      </c>
      <c r="X25" s="3">
        <v>0</v>
      </c>
      <c r="Y25" s="4"/>
      <c r="Z25" s="4"/>
      <c r="AA25" s="6"/>
      <c r="AB25" s="7">
        <v>388000</v>
      </c>
      <c r="AC25" s="7">
        <v>388000</v>
      </c>
      <c r="AD25" s="4"/>
      <c r="AE25" s="4" t="s">
        <v>94</v>
      </c>
      <c r="AF25" s="4"/>
      <c r="AG25" s="4"/>
      <c r="AH25" s="4" t="s">
        <v>89</v>
      </c>
      <c r="AI25" s="5">
        <v>45798</v>
      </c>
      <c r="AJ25" s="4"/>
      <c r="AK25" s="3">
        <v>0</v>
      </c>
      <c r="AL25" s="3">
        <v>0</v>
      </c>
      <c r="AM25" s="3">
        <v>0</v>
      </c>
      <c r="AN25" s="6" t="s">
        <v>149</v>
      </c>
      <c r="AO25" s="3">
        <v>10000</v>
      </c>
      <c r="AP25" s="5">
        <v>45798</v>
      </c>
      <c r="AQ25" s="6" t="s">
        <v>137</v>
      </c>
      <c r="AR25" s="4" t="s">
        <v>156</v>
      </c>
      <c r="AS25" s="3">
        <v>10000</v>
      </c>
      <c r="AT25" s="4" t="s">
        <v>94</v>
      </c>
      <c r="AU25" s="4"/>
      <c r="AV25" s="4" t="s">
        <v>94</v>
      </c>
      <c r="AW25" s="4" t="s">
        <v>94</v>
      </c>
      <c r="AX25" s="4" t="s">
        <v>96</v>
      </c>
      <c r="AY25" s="5">
        <v>45798</v>
      </c>
      <c r="AZ25" s="6" t="s">
        <v>97</v>
      </c>
      <c r="BA25" s="6"/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4"/>
      <c r="BM25" s="4"/>
      <c r="BN25" s="4"/>
      <c r="BO25" s="4"/>
      <c r="BP25" s="4"/>
      <c r="BQ25" s="4"/>
      <c r="BR25" s="4"/>
      <c r="BS25" s="4"/>
      <c r="BT25" s="3"/>
      <c r="BU25" s="4"/>
      <c r="BV25" s="4" t="s">
        <v>94</v>
      </c>
      <c r="BW25" s="4" t="s">
        <v>94</v>
      </c>
      <c r="BX25" s="3">
        <v>0</v>
      </c>
      <c r="BY25" s="6"/>
      <c r="BZ25" s="4"/>
      <c r="CA25" s="4"/>
      <c r="CB25" s="4" t="s">
        <v>163</v>
      </c>
      <c r="CC25" s="4" t="s">
        <v>158</v>
      </c>
      <c r="CD25" s="4" t="s">
        <v>100</v>
      </c>
      <c r="CE25" s="4" t="s">
        <v>101</v>
      </c>
      <c r="CF25" s="4" t="s">
        <v>100</v>
      </c>
    </row>
    <row r="26" spans="1:84" ht="32.25" thickBot="1" x14ac:dyDescent="0.3">
      <c r="A26" s="3">
        <v>2797848</v>
      </c>
      <c r="B26" s="3">
        <v>164</v>
      </c>
      <c r="C26" s="4" t="s">
        <v>84</v>
      </c>
      <c r="D26" s="5">
        <v>45798</v>
      </c>
      <c r="E26" s="6" t="s">
        <v>137</v>
      </c>
      <c r="F26" s="4"/>
      <c r="G26" s="4" t="s">
        <v>161</v>
      </c>
      <c r="H26" s="4" t="s">
        <v>87</v>
      </c>
      <c r="I26" s="4" t="s">
        <v>151</v>
      </c>
      <c r="J26" s="4" t="s">
        <v>89</v>
      </c>
      <c r="K26" s="4"/>
      <c r="L26" s="3">
        <v>118</v>
      </c>
      <c r="M26" s="3">
        <v>200</v>
      </c>
      <c r="N26" s="3">
        <v>200</v>
      </c>
      <c r="O26" s="3">
        <v>200</v>
      </c>
      <c r="P26" s="7">
        <v>4000</v>
      </c>
      <c r="Q26" s="3">
        <v>0</v>
      </c>
      <c r="R26" s="3">
        <v>116</v>
      </c>
      <c r="S26" s="3">
        <v>1</v>
      </c>
      <c r="T26" s="4"/>
      <c r="U26" s="3">
        <v>0</v>
      </c>
      <c r="V26" s="4" t="s">
        <v>91</v>
      </c>
      <c r="W26" s="4" t="s">
        <v>139</v>
      </c>
      <c r="X26" s="3">
        <v>0</v>
      </c>
      <c r="Y26" s="4"/>
      <c r="Z26" s="4"/>
      <c r="AA26" s="6"/>
      <c r="AB26" s="7">
        <v>800000</v>
      </c>
      <c r="AC26" s="7">
        <v>800000</v>
      </c>
      <c r="AD26" s="4"/>
      <c r="AE26" s="4" t="s">
        <v>94</v>
      </c>
      <c r="AF26" s="4"/>
      <c r="AG26" s="4"/>
      <c r="AH26" s="4" t="s">
        <v>89</v>
      </c>
      <c r="AI26" s="5">
        <v>45798</v>
      </c>
      <c r="AJ26" s="4"/>
      <c r="AK26" s="3">
        <v>0</v>
      </c>
      <c r="AL26" s="3">
        <v>0</v>
      </c>
      <c r="AM26" s="3">
        <v>0</v>
      </c>
      <c r="AN26" s="6" t="s">
        <v>149</v>
      </c>
      <c r="AO26" s="3">
        <v>10000</v>
      </c>
      <c r="AP26" s="5">
        <v>45798</v>
      </c>
      <c r="AQ26" s="6" t="s">
        <v>137</v>
      </c>
      <c r="AR26" s="4" t="s">
        <v>156</v>
      </c>
      <c r="AS26" s="3">
        <v>10000</v>
      </c>
      <c r="AT26" s="4" t="s">
        <v>94</v>
      </c>
      <c r="AU26" s="4"/>
      <c r="AV26" s="4" t="s">
        <v>94</v>
      </c>
      <c r="AW26" s="4" t="s">
        <v>94</v>
      </c>
      <c r="AX26" s="4" t="s">
        <v>96</v>
      </c>
      <c r="AY26" s="5">
        <v>45798</v>
      </c>
      <c r="AZ26" s="6" t="s">
        <v>97</v>
      </c>
      <c r="BA26" s="6"/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4"/>
      <c r="BM26" s="4"/>
      <c r="BN26" s="4"/>
      <c r="BO26" s="4"/>
      <c r="BP26" s="4"/>
      <c r="BQ26" s="4"/>
      <c r="BR26" s="4"/>
      <c r="BS26" s="4"/>
      <c r="BT26" s="3"/>
      <c r="BU26" s="4"/>
      <c r="BV26" s="4" t="s">
        <v>94</v>
      </c>
      <c r="BW26" s="4" t="s">
        <v>94</v>
      </c>
      <c r="BX26" s="3">
        <v>0</v>
      </c>
      <c r="BY26" s="6"/>
      <c r="BZ26" s="4"/>
      <c r="CA26" s="4"/>
      <c r="CB26" s="4" t="s">
        <v>164</v>
      </c>
      <c r="CC26" s="4" t="s">
        <v>158</v>
      </c>
      <c r="CD26" s="4" t="s">
        <v>100</v>
      </c>
      <c r="CE26" s="4" t="s">
        <v>101</v>
      </c>
      <c r="CF26" s="4" t="s">
        <v>100</v>
      </c>
    </row>
    <row r="27" spans="1:84" ht="31.5" x14ac:dyDescent="0.25">
      <c r="A27" s="3">
        <v>2797849</v>
      </c>
      <c r="B27" s="3">
        <v>166</v>
      </c>
      <c r="C27" s="4" t="s">
        <v>84</v>
      </c>
      <c r="D27" s="5">
        <v>45798</v>
      </c>
      <c r="E27" s="6" t="s">
        <v>165</v>
      </c>
      <c r="F27" s="4"/>
      <c r="G27" s="4" t="s">
        <v>166</v>
      </c>
      <c r="H27" s="4" t="s">
        <v>87</v>
      </c>
      <c r="I27" s="4" t="s">
        <v>151</v>
      </c>
      <c r="J27" s="4" t="s">
        <v>89</v>
      </c>
      <c r="K27" s="4"/>
      <c r="L27" s="3">
        <v>120</v>
      </c>
      <c r="M27" s="3">
        <v>-307</v>
      </c>
      <c r="N27" s="3">
        <v>-307</v>
      </c>
      <c r="O27" s="3">
        <v>-307</v>
      </c>
      <c r="P27" s="7">
        <v>4170.9283400000004</v>
      </c>
      <c r="Q27" s="3">
        <v>0</v>
      </c>
      <c r="R27" s="3">
        <v>117</v>
      </c>
      <c r="S27" s="3">
        <v>2</v>
      </c>
      <c r="T27" s="4"/>
      <c r="U27" s="3">
        <v>0</v>
      </c>
      <c r="V27" s="4" t="s">
        <v>91</v>
      </c>
      <c r="W27" s="4" t="s">
        <v>167</v>
      </c>
      <c r="X27" s="3">
        <v>0</v>
      </c>
      <c r="Y27" s="4"/>
      <c r="Z27" s="4"/>
      <c r="AA27" s="6"/>
      <c r="AB27" s="7">
        <v>-1280475</v>
      </c>
      <c r="AC27" s="7">
        <v>-1280475</v>
      </c>
      <c r="AD27" s="4"/>
      <c r="AE27" s="4" t="s">
        <v>94</v>
      </c>
      <c r="AF27" s="4" t="s">
        <v>168</v>
      </c>
      <c r="AG27" s="4"/>
      <c r="AH27" s="4" t="s">
        <v>89</v>
      </c>
      <c r="AI27" s="5">
        <v>45798</v>
      </c>
      <c r="AJ27" s="4"/>
      <c r="AK27" s="3">
        <v>0</v>
      </c>
      <c r="AL27" s="3">
        <v>0</v>
      </c>
      <c r="AM27" s="3">
        <v>0</v>
      </c>
      <c r="AN27" s="6"/>
      <c r="AO27" s="3">
        <v>0</v>
      </c>
      <c r="AP27" s="5">
        <v>45798</v>
      </c>
      <c r="AQ27" s="6"/>
      <c r="AR27" s="4"/>
      <c r="AS27" s="3">
        <v>0</v>
      </c>
      <c r="AT27" s="4" t="s">
        <v>94</v>
      </c>
      <c r="AU27" s="4"/>
      <c r="AV27" s="4" t="s">
        <v>94</v>
      </c>
      <c r="AW27" s="4" t="s">
        <v>94</v>
      </c>
      <c r="AX27" s="4" t="s">
        <v>96</v>
      </c>
      <c r="AY27" s="5">
        <v>45798</v>
      </c>
      <c r="AZ27" s="6" t="s">
        <v>97</v>
      </c>
      <c r="BA27" s="6"/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4"/>
      <c r="BM27" s="4"/>
      <c r="BN27" s="4"/>
      <c r="BO27" s="4"/>
      <c r="BP27" s="4"/>
      <c r="BQ27" s="4"/>
      <c r="BR27" s="4"/>
      <c r="BS27" s="4"/>
      <c r="BT27" s="3"/>
      <c r="BU27" s="4"/>
      <c r="BV27" s="4" t="s">
        <v>94</v>
      </c>
      <c r="BW27" s="4" t="s">
        <v>94</v>
      </c>
      <c r="BX27" s="3">
        <v>0</v>
      </c>
      <c r="BY27" s="6"/>
      <c r="BZ27" s="4"/>
      <c r="CA27" s="4"/>
      <c r="CB27" s="4" t="s">
        <v>169</v>
      </c>
      <c r="CC27" s="4" t="s">
        <v>170</v>
      </c>
      <c r="CD27" s="4" t="s">
        <v>100</v>
      </c>
      <c r="CE27" s="4" t="s">
        <v>101</v>
      </c>
      <c r="CF27" s="4" t="s">
        <v>100</v>
      </c>
    </row>
    <row r="28" spans="1:8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A913-24F3-4636-824D-943516FBE97D}">
  <dimension ref="G6:Y43"/>
  <sheetViews>
    <sheetView tabSelected="1" topLeftCell="E12" workbookViewId="0">
      <selection activeCell="M29" sqref="M29"/>
    </sheetView>
  </sheetViews>
  <sheetFormatPr defaultRowHeight="15" x14ac:dyDescent="0.25"/>
  <cols>
    <col min="7" max="7" width="9.85546875" bestFit="1" customWidth="1"/>
    <col min="8" max="8" width="7.85546875" bestFit="1" customWidth="1"/>
    <col min="9" max="9" width="9" bestFit="1" customWidth="1"/>
    <col min="10" max="10" width="11.42578125" bestFit="1" customWidth="1"/>
    <col min="11" max="11" width="13.7109375" bestFit="1" customWidth="1"/>
    <col min="12" max="12" width="11.5703125" bestFit="1" customWidth="1"/>
    <col min="13" max="13" width="8.85546875" bestFit="1" customWidth="1"/>
    <col min="14" max="14" width="6.7109375" bestFit="1" customWidth="1"/>
    <col min="15" max="16" width="12" bestFit="1" customWidth="1"/>
    <col min="17" max="17" width="7" bestFit="1" customWidth="1"/>
    <col min="18" max="18" width="6.7109375" bestFit="1" customWidth="1"/>
    <col min="20" max="20" width="5.42578125" bestFit="1" customWidth="1"/>
    <col min="21" max="21" width="4.42578125" bestFit="1" customWidth="1"/>
    <col min="22" max="22" width="6.7109375" bestFit="1" customWidth="1"/>
    <col min="23" max="23" width="6" bestFit="1" customWidth="1"/>
    <col min="24" max="24" width="7" bestFit="1" customWidth="1"/>
    <col min="25" max="25" width="6.7109375" bestFit="1" customWidth="1"/>
  </cols>
  <sheetData>
    <row r="6" spans="7:15" x14ac:dyDescent="0.25">
      <c r="J6">
        <f>5/10</f>
        <v>0.5</v>
      </c>
    </row>
    <row r="10" spans="7:15" x14ac:dyDescent="0.25">
      <c r="H10" t="s">
        <v>171</v>
      </c>
    </row>
    <row r="11" spans="7:15" x14ac:dyDescent="0.25">
      <c r="G11" t="s">
        <v>198</v>
      </c>
      <c r="H11" t="s">
        <v>198</v>
      </c>
      <c r="I11" t="s">
        <v>198</v>
      </c>
      <c r="K11" t="s">
        <v>198</v>
      </c>
      <c r="L11" t="s">
        <v>198</v>
      </c>
    </row>
    <row r="12" spans="7:15" x14ac:dyDescent="0.25">
      <c r="G12" s="8" t="s">
        <v>197</v>
      </c>
      <c r="H12" s="8" t="s">
        <v>172</v>
      </c>
      <c r="I12" s="8" t="s">
        <v>173</v>
      </c>
      <c r="J12" t="s">
        <v>176</v>
      </c>
      <c r="K12" s="8" t="s">
        <v>8</v>
      </c>
      <c r="L12" s="8" t="s">
        <v>196</v>
      </c>
      <c r="M12" t="s">
        <v>177</v>
      </c>
      <c r="N12" t="s">
        <v>178</v>
      </c>
    </row>
    <row r="13" spans="7:15" x14ac:dyDescent="0.25">
      <c r="G13">
        <v>250425</v>
      </c>
      <c r="H13" t="s">
        <v>174</v>
      </c>
      <c r="I13" t="s">
        <v>175</v>
      </c>
      <c r="J13">
        <v>105</v>
      </c>
      <c r="M13">
        <v>10</v>
      </c>
      <c r="N13" t="s">
        <v>179</v>
      </c>
      <c r="O13">
        <f>+J13/M13</f>
        <v>10.5</v>
      </c>
    </row>
    <row r="14" spans="7:15" x14ac:dyDescent="0.25">
      <c r="G14">
        <v>200425</v>
      </c>
      <c r="H14" t="s">
        <v>174</v>
      </c>
      <c r="I14" t="s">
        <v>175</v>
      </c>
      <c r="J14">
        <v>95</v>
      </c>
      <c r="M14">
        <v>10.1</v>
      </c>
      <c r="N14" t="s">
        <v>179</v>
      </c>
      <c r="O14">
        <f>+J14/M14</f>
        <v>9.4059405940594054</v>
      </c>
    </row>
    <row r="15" spans="7:15" x14ac:dyDescent="0.25">
      <c r="G15">
        <v>150425</v>
      </c>
      <c r="H15" t="s">
        <v>174</v>
      </c>
      <c r="I15" t="s">
        <v>175</v>
      </c>
      <c r="J15">
        <v>105</v>
      </c>
      <c r="M15">
        <v>9.8000000000000007</v>
      </c>
      <c r="N15" t="s">
        <v>179</v>
      </c>
      <c r="O15">
        <f>+J15/M15</f>
        <v>10.714285714285714</v>
      </c>
    </row>
    <row r="16" spans="7:15" x14ac:dyDescent="0.25">
      <c r="G16">
        <v>100525</v>
      </c>
      <c r="H16" t="s">
        <v>174</v>
      </c>
      <c r="I16" t="s">
        <v>175</v>
      </c>
      <c r="J16">
        <v>130</v>
      </c>
      <c r="M16">
        <v>10.3</v>
      </c>
      <c r="N16" t="s">
        <v>179</v>
      </c>
      <c r="O16">
        <f>+J16/M16</f>
        <v>12.621359223300971</v>
      </c>
    </row>
    <row r="17" spans="8:25" x14ac:dyDescent="0.25">
      <c r="J17" s="9">
        <f>SUM(J13:J16)</f>
        <v>435</v>
      </c>
      <c r="O17" s="9">
        <f>SUM(O13:O16)</f>
        <v>43.241585531646088</v>
      </c>
      <c r="P17" s="9">
        <f>J17/O17</f>
        <v>10.059760636705791</v>
      </c>
    </row>
    <row r="22" spans="8:25" x14ac:dyDescent="0.25">
      <c r="I22" t="s">
        <v>180</v>
      </c>
      <c r="K22" t="s">
        <v>191</v>
      </c>
      <c r="M22">
        <v>10525</v>
      </c>
    </row>
    <row r="23" spans="8:25" x14ac:dyDescent="0.25">
      <c r="K23" t="s">
        <v>192</v>
      </c>
      <c r="M23">
        <v>80625</v>
      </c>
    </row>
    <row r="24" spans="8:25" x14ac:dyDescent="0.25">
      <c r="K24" t="s">
        <v>193</v>
      </c>
    </row>
    <row r="25" spans="8:25" x14ac:dyDescent="0.25">
      <c r="J25" t="s">
        <v>195</v>
      </c>
      <c r="K25" t="s">
        <v>194</v>
      </c>
    </row>
    <row r="27" spans="8:25" x14ac:dyDescent="0.25">
      <c r="J27" t="s">
        <v>184</v>
      </c>
      <c r="L27" t="s">
        <v>185</v>
      </c>
      <c r="P27" t="s">
        <v>190</v>
      </c>
      <c r="T27" t="s">
        <v>189</v>
      </c>
      <c r="W27" t="s">
        <v>188</v>
      </c>
    </row>
    <row r="28" spans="8:25" x14ac:dyDescent="0.25">
      <c r="H28" t="s">
        <v>172</v>
      </c>
      <c r="I28" t="s">
        <v>181</v>
      </c>
      <c r="J28" s="8" t="s">
        <v>183</v>
      </c>
      <c r="L28" t="s">
        <v>186</v>
      </c>
      <c r="M28" s="8" t="s">
        <v>186</v>
      </c>
      <c r="N28" t="s">
        <v>187</v>
      </c>
      <c r="P28" t="s">
        <v>186</v>
      </c>
      <c r="Q28" s="8" t="s">
        <v>186</v>
      </c>
      <c r="R28" t="s">
        <v>187</v>
      </c>
      <c r="T28" t="s">
        <v>186</v>
      </c>
      <c r="U28" s="8" t="s">
        <v>186</v>
      </c>
      <c r="V28" t="s">
        <v>187</v>
      </c>
      <c r="W28" t="s">
        <v>186</v>
      </c>
      <c r="X28" s="8" t="s">
        <v>186</v>
      </c>
      <c r="Y28" t="s">
        <v>187</v>
      </c>
    </row>
    <row r="29" spans="8:25" x14ac:dyDescent="0.25">
      <c r="H29" t="s">
        <v>174</v>
      </c>
      <c r="I29" t="s">
        <v>182</v>
      </c>
      <c r="J29" s="8" t="s">
        <v>179</v>
      </c>
      <c r="L29">
        <v>305</v>
      </c>
      <c r="M29" s="8">
        <f>ROUND(L29/$P$17,3)</f>
        <v>30.318999999999999</v>
      </c>
      <c r="P29">
        <v>130</v>
      </c>
      <c r="Q29" s="8">
        <f>ROUND(P29/$P$17,3)</f>
        <v>12.923</v>
      </c>
      <c r="T29">
        <v>0</v>
      </c>
      <c r="U29" s="8">
        <f>ROUND(T29/$P$17,3)</f>
        <v>0</v>
      </c>
      <c r="W29">
        <v>435</v>
      </c>
      <c r="X29" s="8">
        <f>ROUND(W29/$P$17,3)</f>
        <v>43.241999999999997</v>
      </c>
    </row>
    <row r="35" spans="9:13" x14ac:dyDescent="0.25">
      <c r="I35">
        <v>1000</v>
      </c>
      <c r="L35">
        <v>100</v>
      </c>
    </row>
    <row r="36" spans="9:13" x14ac:dyDescent="0.25">
      <c r="I36">
        <v>500</v>
      </c>
      <c r="L36">
        <v>1000</v>
      </c>
    </row>
    <row r="37" spans="9:13" x14ac:dyDescent="0.25">
      <c r="I37">
        <v>1200</v>
      </c>
      <c r="L37">
        <v>500</v>
      </c>
    </row>
    <row r="38" spans="9:13" x14ac:dyDescent="0.25">
      <c r="I38">
        <v>1200</v>
      </c>
      <c r="L38">
        <v>1000</v>
      </c>
    </row>
    <row r="39" spans="9:13" x14ac:dyDescent="0.25">
      <c r="I39">
        <v>1200</v>
      </c>
    </row>
    <row r="41" spans="9:13" x14ac:dyDescent="0.25">
      <c r="L41">
        <v>500</v>
      </c>
    </row>
    <row r="42" spans="9:13" x14ac:dyDescent="0.25">
      <c r="L42">
        <v>1000</v>
      </c>
      <c r="M42" t="s">
        <v>199</v>
      </c>
    </row>
    <row r="43" spans="9:13" x14ac:dyDescent="0.25">
      <c r="L43">
        <v>500</v>
      </c>
      <c r="M4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Rishpal faujdar</dc:creator>
  <cp:lastModifiedBy>Rishpal faujdar</cp:lastModifiedBy>
  <dcterms:created xsi:type="dcterms:W3CDTF">2025-06-08T07:00:49Z</dcterms:created>
  <dcterms:modified xsi:type="dcterms:W3CDTF">2025-06-26T03:51:04Z</dcterms:modified>
</cp:coreProperties>
</file>